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105" windowWidth="14355" windowHeight="4695" activeTab="6"/>
  </bookViews>
  <sheets>
    <sheet name="Raw Data" sheetId="1" r:id="rId1"/>
    <sheet name="Financial Ratios" sheetId="2" r:id="rId2"/>
    <sheet name="Trend Analysis" sheetId="3" r:id="rId3"/>
    <sheet name="Peer Comparison" sheetId="4" r:id="rId4"/>
    <sheet name="Summary" sheetId="5" r:id="rId5"/>
    <sheet name="Working Capital" sheetId="6" r:id="rId6"/>
    <sheet name="DCF Valuation" sheetId="7" r:id="rId7"/>
  </sheets>
  <calcPr calcId="144525"/>
</workbook>
</file>

<file path=xl/calcChain.xml><?xml version="1.0" encoding="utf-8"?>
<calcChain xmlns="http://schemas.openxmlformats.org/spreadsheetml/2006/main">
  <c r="B42" i="7" l="1"/>
  <c r="B39" i="7"/>
  <c r="B38" i="7"/>
  <c r="B24" i="7"/>
  <c r="D21" i="7"/>
  <c r="D23" i="7" s="1"/>
  <c r="D27" i="7" s="1"/>
  <c r="C21" i="7"/>
  <c r="C23" i="7" s="1"/>
  <c r="C27" i="7" s="1"/>
  <c r="B21" i="7"/>
  <c r="B23" i="7" s="1"/>
  <c r="D19" i="7"/>
  <c r="E19" i="7" s="1"/>
  <c r="C19" i="7"/>
  <c r="B19" i="7"/>
  <c r="B11" i="7"/>
  <c r="C13" i="6"/>
  <c r="D13" i="6"/>
  <c r="E13" i="6"/>
  <c r="F13" i="6"/>
  <c r="C12" i="6"/>
  <c r="D12" i="6"/>
  <c r="E12" i="6"/>
  <c r="F12" i="6"/>
  <c r="B13" i="6"/>
  <c r="C11" i="6"/>
  <c r="C14" i="6" s="1"/>
  <c r="D11" i="6"/>
  <c r="D14" i="6" s="1"/>
  <c r="E11" i="6"/>
  <c r="E14" i="6" s="1"/>
  <c r="F11" i="6"/>
  <c r="F14" i="6" s="1"/>
  <c r="B11" i="6"/>
  <c r="B7" i="6"/>
  <c r="B12" i="6" s="1"/>
  <c r="B14" i="6" s="1"/>
  <c r="D13" i="2"/>
  <c r="E13" i="2"/>
  <c r="F13" i="2"/>
  <c r="G13" i="2"/>
  <c r="D14" i="2"/>
  <c r="E14" i="2"/>
  <c r="F14" i="2"/>
  <c r="G14" i="2"/>
  <c r="C14" i="2"/>
  <c r="C13" i="2"/>
  <c r="D10" i="2"/>
  <c r="E10" i="2"/>
  <c r="F10" i="2"/>
  <c r="G10" i="2"/>
  <c r="D11" i="2"/>
  <c r="E11" i="2"/>
  <c r="F11" i="2"/>
  <c r="G11" i="2"/>
  <c r="C10" i="2"/>
  <c r="C11" i="2"/>
  <c r="D7" i="2"/>
  <c r="E7" i="2"/>
  <c r="F7" i="2"/>
  <c r="G7" i="2"/>
  <c r="D8" i="2"/>
  <c r="E8" i="2"/>
  <c r="F8" i="2"/>
  <c r="G8" i="2"/>
  <c r="C7" i="2"/>
  <c r="C8" i="2"/>
  <c r="C5" i="2"/>
  <c r="C4" i="2"/>
  <c r="D3" i="2"/>
  <c r="E3" i="2"/>
  <c r="F3" i="2"/>
  <c r="G3" i="2"/>
  <c r="D4" i="2"/>
  <c r="E4" i="2"/>
  <c r="F4" i="2"/>
  <c r="G4" i="2"/>
  <c r="D5" i="2"/>
  <c r="E5" i="2"/>
  <c r="F5" i="2"/>
  <c r="G5" i="2"/>
  <c r="D20" i="7" l="1"/>
  <c r="B27" i="7"/>
  <c r="E26" i="7"/>
  <c r="E24" i="7"/>
  <c r="C20" i="7"/>
  <c r="F19" i="7"/>
  <c r="E25" i="7"/>
  <c r="B12" i="7"/>
  <c r="B13" i="7" s="1"/>
  <c r="E21" i="7"/>
  <c r="E23" i="7" s="1"/>
  <c r="C3" i="2"/>
  <c r="E27" i="7" l="1"/>
  <c r="G29" i="7"/>
  <c r="H29" i="7"/>
  <c r="I29" i="7"/>
  <c r="F29" i="7"/>
  <c r="E29" i="7"/>
  <c r="F26" i="7"/>
  <c r="F25" i="7"/>
  <c r="F21" i="7"/>
  <c r="F23" i="7" s="1"/>
  <c r="F24" i="7"/>
  <c r="G19" i="7"/>
  <c r="E30" i="7"/>
  <c r="F27" i="7" l="1"/>
  <c r="F30" i="7" s="1"/>
  <c r="G24" i="7"/>
  <c r="H19" i="7"/>
  <c r="G26" i="7"/>
  <c r="G25" i="7"/>
  <c r="G21" i="7"/>
  <c r="G23" i="7" s="1"/>
  <c r="G27" i="7" l="1"/>
  <c r="G30" i="7" s="1"/>
  <c r="H24" i="7"/>
  <c r="I19" i="7"/>
  <c r="H26" i="7"/>
  <c r="H25" i="7"/>
  <c r="H21" i="7"/>
  <c r="H23" i="7" s="1"/>
  <c r="H27" i="7" l="1"/>
  <c r="H30" i="7" s="1"/>
  <c r="I21" i="7"/>
  <c r="I23" i="7" s="1"/>
  <c r="I24" i="7"/>
  <c r="I26" i="7"/>
  <c r="I25" i="7"/>
  <c r="I27" i="7" l="1"/>
  <c r="B35" i="7"/>
  <c r="B36" i="7" s="1"/>
  <c r="I30" i="7"/>
  <c r="B34" i="7" s="1"/>
  <c r="B37" i="7" s="1"/>
  <c r="B40" i="7" s="1"/>
  <c r="B41" i="7" s="1"/>
  <c r="B43" i="7" s="1"/>
</calcChain>
</file>

<file path=xl/sharedStrings.xml><?xml version="1.0" encoding="utf-8"?>
<sst xmlns="http://schemas.openxmlformats.org/spreadsheetml/2006/main" count="161" uniqueCount="150">
  <si>
    <t>FY 2022</t>
  </si>
  <si>
    <t>FY 2023</t>
  </si>
  <si>
    <t>FY 2024</t>
  </si>
  <si>
    <t>FY 2025</t>
  </si>
  <si>
    <t>FY 2026</t>
  </si>
  <si>
    <t>Sales(Revenue)</t>
  </si>
  <si>
    <t>Net Profit</t>
  </si>
  <si>
    <t>Profit before tax</t>
  </si>
  <si>
    <t>Operating Profits</t>
  </si>
  <si>
    <t>Expenses</t>
  </si>
  <si>
    <t>Interest</t>
  </si>
  <si>
    <t>Depreciation</t>
  </si>
  <si>
    <t>Equity Capital</t>
  </si>
  <si>
    <t>Reserves</t>
  </si>
  <si>
    <t>Total Liabilities</t>
  </si>
  <si>
    <t>Total Assets</t>
  </si>
  <si>
    <t>Other Liabilities</t>
  </si>
  <si>
    <t>Other Assets</t>
  </si>
  <si>
    <t>Borrowings</t>
  </si>
  <si>
    <t>Trade Receivables</t>
  </si>
  <si>
    <t>Inventory</t>
  </si>
  <si>
    <t>Cash &amp; Equivalents</t>
  </si>
  <si>
    <t>Trade Payables</t>
  </si>
  <si>
    <t>Ratio</t>
  </si>
  <si>
    <t>Operating Profit Margin(OPM)</t>
  </si>
  <si>
    <t>Net Profit Margin(NPM)</t>
  </si>
  <si>
    <t>Return on Equity(ROE)</t>
  </si>
  <si>
    <t>OPM=Operating profit/ Sales</t>
  </si>
  <si>
    <t>NPM=Net profit/Sales</t>
  </si>
  <si>
    <t>Debt To Equity Ratio</t>
  </si>
  <si>
    <t>Debt To Equity Ratio=(Borrowing)/(Equity Capital+Reserves)</t>
  </si>
  <si>
    <t>ROE=Net profit)/(Equity Capital+Reserves)</t>
  </si>
  <si>
    <t xml:space="preserve">Current Ratio </t>
  </si>
  <si>
    <t>Quick Ratio</t>
  </si>
  <si>
    <t>Current Ratio=(Receivables+Inventory+Cash)/(Trade Payables)</t>
  </si>
  <si>
    <t>Quick Ratio=(Trade receivables+Cash)/(Trade payables)</t>
  </si>
  <si>
    <t>Asset Turnover</t>
  </si>
  <si>
    <t>Inventory Turnover</t>
  </si>
  <si>
    <t>Asset Turnover=Sales/Total Assets</t>
  </si>
  <si>
    <t>Key Financial Insights &amp; Observations</t>
  </si>
  <si>
    <t>• Profitability: Operating profit margin (OPM) held steady between 13% and 15% across all 5 years, reflecting consistent core pricing power. Net profit margin (NPM) peaked at ~10% in FY23 before settling at 7–8%, impacted by higher interest costs in FY25.</t>
  </si>
  <si>
    <t>• Liquidity: The Current Ratio eased from 2.98x (FY22) to ~2.09x (FY26), while the Quick Ratio adjusted from 1.79x to 1.18x. Both remain well within healthy solvency benchmarks (&gt;1.5x and &gt;1.0x), indicating solid short-term obligations coverage.</t>
  </si>
  <si>
    <t>• Solvency: Debt-to-Equity remained conservative throughout (0.09x to 0.11x, with a brief uptick to 0.22x in FY24), supported by robust Interest Coverage consistently above 8x, reaching ~20x in FY26.</t>
  </si>
  <si>
    <t>Ratio / Metric</t>
  </si>
  <si>
    <t>Tata Consumer Products Ltd</t>
  </si>
  <si>
    <t>Fast Moving Consumer Goods Companies (PEER COMPARISON)</t>
  </si>
  <si>
    <t>Hindustan Unilever Ltd</t>
  </si>
  <si>
    <t>Nestle India Ltd</t>
  </si>
  <si>
    <t>Britannia Industries Ltd</t>
  </si>
  <si>
    <t>Dabur India Ltd</t>
  </si>
  <si>
    <t>Godrej Consumer Products Ltd</t>
  </si>
  <si>
    <t>Financial Ratios</t>
  </si>
  <si>
    <t>Trend Analysis</t>
  </si>
  <si>
    <t>Current Market PriceCMP(Rs)</t>
  </si>
  <si>
    <t>Price to Earning Ratio</t>
  </si>
  <si>
    <t>Market Capitalisation in Rs(Cr)</t>
  </si>
  <si>
    <t>Dividend Yield(%)</t>
  </si>
  <si>
    <t>Net Profit Quarter in Rs(Cr)</t>
  </si>
  <si>
    <t>Peer Valuation Summary: Tata Consumer ranks 5th by Market Capitalization (₹97,306 Cr) among top Indian FMCG peers. It commands a premium multiple of 59.0x P/E—higher than mature peers like HUL (41.4x) and Britannia (45.7x)—reflecting strong market expectations for category expansion, brand strength, and long-term earnings growth toward high-margin leaders like Nestle (69.98x).</t>
  </si>
  <si>
    <t>1. Key Financial Highlights</t>
  </si>
  <si>
    <t>2. Core Business Strengths</t>
  </si>
  <si>
    <t>3. Key Risks &amp; Areas of Concerns</t>
  </si>
  <si>
    <t>• Profitability: Operating Profit Margin (OPM) held consistently between 13% and 15%, while Net Profit Margin (NPM) stabilized at 7–8%.</t>
  </si>
  <si>
    <t>• Liquidity: Maintained adequate short-term solvency with Current Ratio at 2.09x and Quick Ratio at 1.18x in FY26, well above minimum safety thresholds.</t>
  </si>
  <si>
    <t>• Solvency: Conservative leverage with low Debt-to-Equity (0.11x) and strong Interest Coverage (20.38x) in FY26.</t>
  </si>
  <si>
    <t>• Valuation: Commands a premium multiple of 59.0x P/E, driven by category expansion expectations relative to peers.</t>
  </si>
  <si>
    <t>• Brand Equity: Strong domestic footprint in branded tea, salt, and packaged foods backed by the Tata group umbrella.</t>
  </si>
  <si>
    <t>• Balance Sheet Flexibility: Low debt levels allow internal funding for capex and targeted acquisitions without distress.</t>
  </si>
  <si>
    <t>• Pricing Power: Demonstrates operational capability to pass on raw material inflation to protect gross margins.</t>
  </si>
  <si>
    <t>• Trailing Margins: Operating margins (14%) trail mature consumer peers such as Nestle (23%) and HUL (24%).</t>
  </si>
  <si>
    <t>• Rich Valuation: High P/E multiple (59.0x) leaves limited margin of safety if volume growth slows.</t>
  </si>
  <si>
    <t>• Input Volatility: Tea, coffee, and agricultural commodity cycles introduce periodic working capital fluctuations.</t>
  </si>
  <si>
    <t>Tata Consumer is a high-quality, defensively positioned business with minimal leverage risk. While current valuation multiples price in substantial growth, continuous premiumization and product diversification support long-term compounding strength.</t>
  </si>
  <si>
    <t>s</t>
  </si>
  <si>
    <t>Tata Consumer Products Ltd: Working Capital</t>
  </si>
  <si>
    <t>Metric / Formula</t>
  </si>
  <si>
    <t>Sales / Revenue (Cr)</t>
  </si>
  <si>
    <t>Cost of Goods Sold (COGS) / Expenses (Cr)</t>
  </si>
  <si>
    <t>Inventories (Cr)</t>
  </si>
  <si>
    <t>Trade Receivables / Debtors (Cr)</t>
  </si>
  <si>
    <t>Trade Payables / Creditors (Cr)</t>
  </si>
  <si>
    <t>Days Sales Outstanding (DSO)</t>
  </si>
  <si>
    <t>Days Inventory Outstanding (DIO)</t>
  </si>
  <si>
    <t>Days Payable Outstanding (DPO)</t>
  </si>
  <si>
    <t>Cash Conversion Cycle (CCC)</t>
  </si>
  <si>
    <t>Days Sales Outstanding (DSO)=(Trade Receivables/Sales)*365</t>
  </si>
  <si>
    <t>Days Inventory Outstanding (DIO)=(Inventories /Expenses)*365</t>
  </si>
  <si>
    <t>Days Payable Outstanding (DPO)=(Trade Payables/Expenses)*365</t>
  </si>
  <si>
    <t>Cash Conversion Cycle (CCC)=(DSO)+(DIO)+(DPO)</t>
  </si>
  <si>
    <t>Working Capital &amp; Efficiency Insight: Tata Consumer substantially improved its working capital efficiency over the 5-year period, driving its Cash Conversion Cycle (CCC) down from ~36.5 days in FY22 to ~13.4 days in FY26. This positive trend was primarily fueled by expanding Days Payable Outstanding (DPO from 65.3 to 80.8 days)—effectively utilizing supplier credit terms to finance inventory—alongside faster customer receivables collection (DSO declining to 20.6 days).</t>
  </si>
  <si>
    <t>Current Share Price (CMP)</t>
  </si>
  <si>
    <t>Shares Outstanding (Cr)</t>
  </si>
  <si>
    <t>Risk-Free Rate (Rf)</t>
  </si>
  <si>
    <t>Equity Risk Premium (ERP)</t>
  </si>
  <si>
    <t>Beta (β)</t>
  </si>
  <si>
    <t>Cost of Debt (Kd, post-tax)</t>
  </si>
  <si>
    <t>Weight of Equity (We)</t>
  </si>
  <si>
    <t>Weight of Debt (Wd)</t>
  </si>
  <si>
    <t>Weighted Average Cost of Capital (WACC)</t>
  </si>
  <si>
    <t>Terminal Growth Rate (g)</t>
  </si>
  <si>
    <t>Cash Flow Projections (₹ in Cr)</t>
  </si>
  <si>
    <t>Revenue / Sales</t>
  </si>
  <si>
    <t>Revenue Growth Rate (%)</t>
  </si>
  <si>
    <t>EBIT (Operating Profit - D&amp;A)</t>
  </si>
  <si>
    <t>Effective Tax Rate (%)</t>
  </si>
  <si>
    <t>NOPAT (EBIT × (1 - Tax))</t>
  </si>
  <si>
    <t>(+) Depreciation &amp; Amortization</t>
  </si>
  <si>
    <t>(-) Capital Expenditures (CapEx)</t>
  </si>
  <si>
    <t>(-) Change in Working Capital (ΔNWC)</t>
  </si>
  <si>
    <t>Free Cash Flow to Firm (FCFF)</t>
  </si>
  <si>
    <t>Discount Period (Years)</t>
  </si>
  <si>
    <t>Discount Factor [1 / (1 + WACC)^t]</t>
  </si>
  <si>
    <t>Present Value of FCFF (PV)</t>
  </si>
  <si>
    <t>3.Valuation &amp; Intrinsic Share Price</t>
  </si>
  <si>
    <t>Enterprise &amp; Equity Valuation Summary</t>
  </si>
  <si>
    <t>Cumulative PV of 5-Yr Cash Flows</t>
  </si>
  <si>
    <t>Terminal Value (TV)</t>
  </si>
  <si>
    <t>Present Value of Terminal Value (PV of TV)</t>
  </si>
  <si>
    <t>Enterprise Value (EV)</t>
  </si>
  <si>
    <t>(+) Cash &amp; Cash Equivalents</t>
  </si>
  <si>
    <t>(-) Total Debt</t>
  </si>
  <si>
    <t>Equity Value (Implied)</t>
  </si>
  <si>
    <t>Intrinsic Value Per Share (₹)</t>
  </si>
  <si>
    <t>Current Market Price (CMP)</t>
  </si>
  <si>
    <t>Analyst Recommendation (Upside / Downside %)</t>
  </si>
  <si>
    <t>2.Historical &amp; Forecast Free Cash Flow</t>
  </si>
  <si>
    <t>1.Model Assumptions</t>
  </si>
  <si>
    <t>FY2024</t>
  </si>
  <si>
    <t>FY2025</t>
  </si>
  <si>
    <t>FY2026</t>
  </si>
  <si>
    <t>FY2027</t>
  </si>
  <si>
    <t>FY2028</t>
  </si>
  <si>
    <t>FY2029</t>
  </si>
  <si>
    <t>FY2030</t>
  </si>
  <si>
    <t>FY2031</t>
  </si>
  <si>
    <t>FY</t>
  </si>
  <si>
    <t>Tata Consumer Products Ltd: DCF Valuation</t>
  </si>
  <si>
    <t>Tata Consumer Products Ltd.</t>
  </si>
  <si>
    <t>Particulars(Rs. In Cr)</t>
  </si>
  <si>
    <t>Historical Financial Performance &amp; Balance Sheet Extracts (FY22 – FY26)</t>
  </si>
  <si>
    <t>(Source: Annual Reports / Screener.in)</t>
  </si>
  <si>
    <t>Interest Coverage Ratio</t>
  </si>
  <si>
    <t>Inventory Turnover=Expenses/Inventory</t>
  </si>
  <si>
    <t>Interset Coverage Ratio=operating profits/Interest</t>
  </si>
  <si>
    <t>Profitability</t>
  </si>
  <si>
    <t>Leverage</t>
  </si>
  <si>
    <t>Liquidity</t>
  </si>
  <si>
    <t>Efficiency</t>
  </si>
  <si>
    <t>4. Final Investment Observation</t>
  </si>
  <si>
    <r>
      <rPr>
        <sz val="20"/>
        <color theme="1"/>
        <rFont val="Calibri"/>
        <family val="2"/>
        <scheme val="minor"/>
      </rPr>
      <t>DCF Valuation &amp; Investment Thesis(Tata Consumer Products Ltd):</t>
    </r>
    <r>
      <rPr>
        <sz val="12"/>
        <color theme="1"/>
        <rFont val="Calibri"/>
        <family val="2"/>
        <scheme val="minor"/>
      </rPr>
      <t xml:space="preserve">
</t>
    </r>
    <r>
      <rPr>
        <sz val="14"/>
        <color theme="1"/>
        <rFont val="Calibri"/>
        <family val="2"/>
        <scheme val="minor"/>
      </rPr>
      <t>1. Valuation Summary:</t>
    </r>
    <r>
      <rPr>
        <sz val="12"/>
        <color theme="1"/>
        <rFont val="Calibri"/>
        <family val="2"/>
        <scheme val="minor"/>
      </rPr>
      <t xml:space="preserve">
• Current Market Price (CMP): ₹983.20
• Implied Intrinsic Value per Share: ₹264.52
• Valuation Implication: Overvalued (~73% downside)
• Discount Rate (WACC): 12.37% (Cost of Equity: 12.53%, Cost of Debt: 6.00%)
• Terminal Growth Rate: 5.0%
</t>
    </r>
    <r>
      <rPr>
        <sz val="14"/>
        <color theme="1"/>
        <rFont val="Calibri"/>
        <family val="2"/>
        <scheme val="minor"/>
      </rPr>
      <t>2. Core Valuation Findings:</t>
    </r>
    <r>
      <rPr>
        <sz val="12"/>
        <color theme="1"/>
        <rFont val="Calibri"/>
        <family val="2"/>
        <scheme val="minor"/>
      </rPr>
      <t xml:space="preserve">
Our 5-year DCF projection yields an Enterprise Value of ₹25,152.5 Cr and an Implied Equity Value of ₹26,179 Cr. After accounting for Net Cash (Cash of ₹3,420 Cr less Total Debt of ₹2,393 Cr), the intrinsic value equates to ₹264.52 per share versus the CMP of ₹983.20.
</t>
    </r>
    <r>
      <rPr>
        <sz val="14"/>
        <color theme="1"/>
        <rFont val="Calibri"/>
        <family val="2"/>
        <scheme val="minor"/>
      </rPr>
      <t>3. Investment Thesis &amp; Analyst Verdict:</t>
    </r>
    <r>
      <rPr>
        <sz val="12"/>
        <color theme="1"/>
        <rFont val="Calibri"/>
        <family val="2"/>
        <scheme val="minor"/>
      </rPr>
      <t xml:space="preserve">
Tata Consumer Products is significantly overvalued on an intrinsic cash-flow basis. The current market quotation (P/E ~59x) prices in exceptional perpetual growth and margin expansion well above its historical conversion profile. While the business displays consistent operational growth (10-12% revenue CAGR) and solid working-capital management (CCC of ~13.4 days), free cash flows cannot fundamentally justify the current multiple under a 12.4% hurdle rate. </t>
    </r>
    <r>
      <rPr>
        <sz val="11"/>
        <color theme="1"/>
        <rFont val="Calibri"/>
        <family val="2"/>
        <scheme val="minor"/>
      </rPr>
      <t xml:space="preserve">
Conclusion</t>
    </r>
    <r>
      <rPr>
        <sz val="12"/>
        <color theme="1"/>
        <rFont val="Calibri"/>
        <family val="2"/>
        <scheme val="minor"/>
      </rPr>
      <t>: OVERVALUED / SELL (or HOLD for long-term defensive compounders, but not attractive for fresh capital deployment).</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</si>
</sst>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0" x14ac:knownFonts="1">
    <font>
      <sz val="11"/>
      <color theme="1"/>
      <name val="Calibri"/>
      <family val="2"/>
      <scheme val="minor"/>
    </font>
    <font>
      <sz val="11"/>
      <color theme="1"/>
      <name val="Calibri"/>
      <family val="2"/>
      <scheme val="minor"/>
    </font>
    <font>
      <sz val="11"/>
      <color rgb="FF22222F"/>
      <name val="Arial"/>
      <family val="2"/>
    </font>
    <font>
      <sz val="11"/>
      <color rgb="FF22222F"/>
      <name val="Arial"/>
      <family val="2"/>
    </font>
    <font>
      <b/>
      <sz val="11"/>
      <color theme="1"/>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sz val="9"/>
      <color theme="1"/>
      <name val="Calibri"/>
      <family val="2"/>
      <scheme val="minor"/>
    </font>
    <font>
      <sz val="8"/>
      <color theme="1"/>
      <name val="Calibri"/>
      <family val="2"/>
      <scheme val="minor"/>
    </font>
    <font>
      <sz val="10"/>
      <color theme="1"/>
      <name val="Calibri"/>
      <family val="2"/>
      <scheme val="minor"/>
    </font>
    <font>
      <b/>
      <sz val="16"/>
      <color theme="1"/>
      <name val="Calibri"/>
      <family val="2"/>
      <scheme val="minor"/>
    </font>
    <font>
      <b/>
      <sz val="12"/>
      <color theme="1"/>
      <name val="Arial Black"/>
      <family val="2"/>
    </font>
    <font>
      <sz val="16"/>
      <color theme="1"/>
      <name val="Calibri"/>
      <family val="2"/>
      <scheme val="minor"/>
    </font>
    <font>
      <b/>
      <sz val="16"/>
      <name val="Calibri"/>
      <family val="2"/>
      <scheme val="minor"/>
    </font>
    <font>
      <b/>
      <sz val="10"/>
      <color theme="1"/>
      <name val="Calibri"/>
      <family val="2"/>
      <scheme val="minor"/>
    </font>
    <font>
      <b/>
      <sz val="18"/>
      <color theme="1"/>
      <name val="Calibri"/>
      <family val="2"/>
      <scheme val="minor"/>
    </font>
    <font>
      <b/>
      <sz val="12"/>
      <color rgb="FF22222F"/>
      <name val="Calibri"/>
      <family val="2"/>
      <scheme val="minor"/>
    </font>
    <font>
      <sz val="20"/>
      <color theme="1"/>
      <name val="Calibri"/>
      <family val="2"/>
      <scheme val="minor"/>
    </font>
  </fonts>
  <fills count="12">
    <fill>
      <patternFill patternType="none"/>
    </fill>
    <fill>
      <patternFill patternType="gray125"/>
    </fill>
    <fill>
      <patternFill patternType="solid">
        <fgColor rgb="FFFFFFFF"/>
        <bgColor indexed="64"/>
      </patternFill>
    </fill>
    <fill>
      <patternFill patternType="solid">
        <fgColor rgb="FFF8F8FC"/>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EAEAEA"/>
        <bgColor indexed="64"/>
      </patternFill>
    </fill>
    <fill>
      <patternFill patternType="solid">
        <fgColor rgb="FFDFEFF1"/>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4" tint="0.39997558519241921"/>
        <bgColor indexed="64"/>
      </patternFill>
    </fill>
  </fills>
  <borders count="56">
    <border>
      <left/>
      <right/>
      <top/>
      <bottom/>
      <diagonal/>
    </border>
    <border>
      <left/>
      <right/>
      <top style="medium">
        <color rgb="FFDBE4F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diagonal/>
    </border>
  </borders>
  <cellStyleXfs count="3">
    <xf numFmtId="0" fontId="0" fillId="0" borderId="0"/>
    <xf numFmtId="9" fontId="1" fillId="0" borderId="0" applyFont="0" applyFill="0" applyBorder="0" applyAlignment="0" applyProtection="0"/>
    <xf numFmtId="0" fontId="1" fillId="4" borderId="0" applyNumberFormat="0" applyBorder="0" applyAlignment="0" applyProtection="0"/>
  </cellStyleXfs>
  <cellXfs count="231">
    <xf numFmtId="0" fontId="0" fillId="0" borderId="0" xfId="0"/>
    <xf numFmtId="3" fontId="2" fillId="0" borderId="0" xfId="0" applyNumberFormat="1" applyFont="1"/>
    <xf numFmtId="0" fontId="3" fillId="2" borderId="1" xfId="0" applyFont="1" applyFill="1" applyBorder="1" applyAlignment="1">
      <alignment horizontal="right" vertical="center" wrapText="1" indent="1"/>
    </xf>
    <xf numFmtId="0" fontId="0" fillId="0" borderId="2" xfId="0" applyBorder="1"/>
    <xf numFmtId="0" fontId="2" fillId="3" borderId="0" xfId="0" applyFont="1" applyFill="1" applyAlignment="1">
      <alignment horizontal="right" vertical="center" wrapText="1" indent="1"/>
    </xf>
    <xf numFmtId="0" fontId="0" fillId="0" borderId="0" xfId="0" applyAlignment="1">
      <alignment horizontal="left"/>
    </xf>
    <xf numFmtId="9" fontId="0" fillId="5" borderId="2" xfId="1" applyFont="1" applyFill="1" applyBorder="1"/>
    <xf numFmtId="9" fontId="0" fillId="5" borderId="9" xfId="1" applyFont="1" applyFill="1" applyBorder="1"/>
    <xf numFmtId="0" fontId="0" fillId="6" borderId="2" xfId="0" applyFill="1" applyBorder="1"/>
    <xf numFmtId="2" fontId="0" fillId="5" borderId="2" xfId="0" applyNumberFormat="1" applyFill="1" applyBorder="1"/>
    <xf numFmtId="2" fontId="0" fillId="5" borderId="9" xfId="0" applyNumberFormat="1" applyFill="1" applyBorder="1"/>
    <xf numFmtId="2" fontId="0" fillId="5" borderId="11" xfId="0" applyNumberFormat="1" applyFill="1" applyBorder="1"/>
    <xf numFmtId="2" fontId="0" fillId="5" borderId="12" xfId="0" applyNumberFormat="1" applyFill="1" applyBorder="1"/>
    <xf numFmtId="0" fontId="4" fillId="0" borderId="0" xfId="0" applyFont="1"/>
    <xf numFmtId="0" fontId="4" fillId="0" borderId="0" xfId="0" applyFont="1" applyAlignment="1">
      <alignment horizontal="center"/>
    </xf>
    <xf numFmtId="0" fontId="12" fillId="0" borderId="0" xfId="0" applyFont="1" applyAlignment="1"/>
    <xf numFmtId="0" fontId="0" fillId="0" borderId="0" xfId="0" applyBorder="1"/>
    <xf numFmtId="0" fontId="0" fillId="7" borderId="23" xfId="0" applyFill="1" applyBorder="1"/>
    <xf numFmtId="0" fontId="0" fillId="7" borderId="0" xfId="0" applyFill="1" applyBorder="1"/>
    <xf numFmtId="0" fontId="0" fillId="7" borderId="24" xfId="0" applyFill="1" applyBorder="1"/>
    <xf numFmtId="0" fontId="0" fillId="7" borderId="25" xfId="0" applyFill="1" applyBorder="1"/>
    <xf numFmtId="0" fontId="0" fillId="7" borderId="26" xfId="0" applyFill="1" applyBorder="1"/>
    <xf numFmtId="0" fontId="0" fillId="7" borderId="27" xfId="0" applyFill="1" applyBorder="1"/>
    <xf numFmtId="0" fontId="7" fillId="0" borderId="0" xfId="0" applyFont="1"/>
    <xf numFmtId="0" fontId="4" fillId="0" borderId="0" xfId="0" applyFont="1" applyBorder="1"/>
    <xf numFmtId="0" fontId="5" fillId="0" borderId="0" xfId="0" applyFont="1" applyFill="1" applyBorder="1"/>
    <xf numFmtId="0" fontId="0" fillId="0" borderId="0" xfId="0" applyBorder="1" applyAlignment="1"/>
    <xf numFmtId="2" fontId="2" fillId="8" borderId="2" xfId="0" applyNumberFormat="1" applyFont="1" applyFill="1" applyBorder="1" applyAlignment="1">
      <alignment horizontal="right" vertical="center" wrapText="1" indent="1"/>
    </xf>
    <xf numFmtId="2" fontId="2" fillId="8" borderId="11" xfId="0" applyNumberFormat="1" applyFont="1" applyFill="1" applyBorder="1" applyAlignment="1">
      <alignment horizontal="right" vertical="center" wrapText="1" indent="1"/>
    </xf>
    <xf numFmtId="2" fontId="2" fillId="8" borderId="2" xfId="0" applyNumberFormat="1" applyFont="1" applyFill="1" applyBorder="1"/>
    <xf numFmtId="2" fontId="2" fillId="8" borderId="9" xfId="0" applyNumberFormat="1" applyFont="1" applyFill="1" applyBorder="1" applyAlignment="1">
      <alignment horizontal="right" vertical="center" wrapText="1" indent="1"/>
    </xf>
    <xf numFmtId="2" fontId="2" fillId="8" borderId="12" xfId="0" applyNumberFormat="1" applyFont="1" applyFill="1" applyBorder="1" applyAlignment="1">
      <alignment horizontal="right" vertical="center" wrapText="1" indent="1"/>
    </xf>
    <xf numFmtId="0" fontId="0" fillId="9" borderId="2" xfId="0" applyFill="1" applyBorder="1"/>
    <xf numFmtId="0" fontId="0" fillId="8" borderId="2" xfId="0" applyFill="1" applyBorder="1"/>
    <xf numFmtId="3" fontId="0" fillId="8" borderId="2" xfId="0" applyNumberFormat="1" applyFill="1" applyBorder="1"/>
    <xf numFmtId="0" fontId="5" fillId="8" borderId="2" xfId="0" applyFont="1" applyFill="1" applyBorder="1" applyAlignment="1">
      <alignment horizontal="center"/>
    </xf>
    <xf numFmtId="9" fontId="5" fillId="8" borderId="2" xfId="1" applyFont="1" applyFill="1" applyBorder="1" applyAlignment="1">
      <alignment horizontal="center"/>
    </xf>
    <xf numFmtId="3" fontId="1" fillId="8" borderId="2" xfId="2" applyNumberFormat="1" applyFont="1" applyFill="1" applyBorder="1" applyAlignment="1"/>
    <xf numFmtId="3" fontId="1" fillId="8" borderId="2" xfId="2" applyNumberFormat="1" applyFont="1" applyFill="1" applyBorder="1" applyAlignment="1">
      <alignment vertical="center" wrapText="1"/>
    </xf>
    <xf numFmtId="3" fontId="1" fillId="8" borderId="2" xfId="0" applyNumberFormat="1" applyFont="1" applyFill="1" applyBorder="1"/>
    <xf numFmtId="0" fontId="1" fillId="8" borderId="2" xfId="2" applyFont="1" applyFill="1" applyBorder="1" applyAlignment="1">
      <alignment vertical="center" wrapText="1"/>
    </xf>
    <xf numFmtId="0" fontId="1" fillId="8" borderId="2" xfId="0" applyFont="1" applyFill="1" applyBorder="1"/>
    <xf numFmtId="0" fontId="0" fillId="0" borderId="0" xfId="0" applyAlignment="1"/>
    <xf numFmtId="10" fontId="0" fillId="8" borderId="2" xfId="1" applyNumberFormat="1" applyFont="1" applyFill="1" applyBorder="1"/>
    <xf numFmtId="0" fontId="0" fillId="8" borderId="8" xfId="0" applyFill="1" applyBorder="1"/>
    <xf numFmtId="0" fontId="0" fillId="8" borderId="9" xfId="0" applyFill="1" applyBorder="1"/>
    <xf numFmtId="9" fontId="0" fillId="8" borderId="2" xfId="0" applyNumberFormat="1" applyFill="1" applyBorder="1"/>
    <xf numFmtId="9" fontId="0" fillId="8" borderId="9" xfId="0" applyNumberFormat="1" applyFill="1" applyBorder="1"/>
    <xf numFmtId="0" fontId="0" fillId="8" borderId="10" xfId="0" applyFill="1" applyBorder="1"/>
    <xf numFmtId="0" fontId="0" fillId="8" borderId="11" xfId="0" applyFill="1" applyBorder="1"/>
    <xf numFmtId="0" fontId="0" fillId="8" borderId="12" xfId="0" applyFill="1" applyBorder="1"/>
    <xf numFmtId="3" fontId="0" fillId="8" borderId="9" xfId="0" applyNumberFormat="1" applyFill="1" applyBorder="1"/>
    <xf numFmtId="10" fontId="0" fillId="8" borderId="12" xfId="1" applyNumberFormat="1" applyFont="1" applyFill="1" applyBorder="1"/>
    <xf numFmtId="0" fontId="0" fillId="0" borderId="23" xfId="0" applyBorder="1"/>
    <xf numFmtId="3" fontId="11" fillId="0" borderId="2" xfId="2" applyNumberFormat="1" applyFont="1" applyFill="1" applyBorder="1" applyAlignment="1"/>
    <xf numFmtId="3" fontId="11" fillId="0" borderId="2" xfId="2" applyNumberFormat="1" applyFont="1" applyFill="1" applyBorder="1" applyAlignment="1">
      <alignment vertical="center" wrapText="1"/>
    </xf>
    <xf numFmtId="0" fontId="11" fillId="0" borderId="2" xfId="2" applyFont="1" applyFill="1" applyBorder="1" applyAlignment="1"/>
    <xf numFmtId="0" fontId="11" fillId="0" borderId="2" xfId="2" applyFont="1" applyFill="1" applyBorder="1" applyAlignment="1">
      <alignment vertical="center" wrapText="1"/>
    </xf>
    <xf numFmtId="3" fontId="16" fillId="0" borderId="2" xfId="2" applyNumberFormat="1" applyFont="1" applyFill="1" applyBorder="1" applyAlignment="1">
      <alignment vertical="center" wrapText="1"/>
    </xf>
    <xf numFmtId="3" fontId="11" fillId="0" borderId="11" xfId="2" applyNumberFormat="1" applyFont="1" applyFill="1" applyBorder="1" applyAlignment="1">
      <alignment vertical="center" wrapText="1"/>
    </xf>
    <xf numFmtId="0" fontId="11" fillId="0" borderId="8" xfId="2" applyFont="1" applyFill="1" applyBorder="1" applyAlignment="1">
      <alignment horizontal="left"/>
    </xf>
    <xf numFmtId="3" fontId="11" fillId="0" borderId="9" xfId="2" applyNumberFormat="1" applyFont="1" applyFill="1" applyBorder="1" applyAlignment="1"/>
    <xf numFmtId="0" fontId="11" fillId="0" borderId="9" xfId="2" applyFont="1" applyFill="1" applyBorder="1" applyAlignment="1"/>
    <xf numFmtId="0" fontId="11" fillId="0" borderId="10" xfId="2" applyFont="1" applyFill="1" applyBorder="1" applyAlignment="1">
      <alignment horizontal="left"/>
    </xf>
    <xf numFmtId="3" fontId="11" fillId="0" borderId="9" xfId="2" applyNumberFormat="1" applyFont="1" applyFill="1" applyBorder="1" applyAlignment="1">
      <alignment vertical="center" wrapText="1"/>
    </xf>
    <xf numFmtId="3" fontId="11" fillId="0" borderId="12" xfId="2" applyNumberFormat="1" applyFont="1" applyFill="1" applyBorder="1" applyAlignment="1">
      <alignment vertical="center" wrapText="1"/>
    </xf>
    <xf numFmtId="0" fontId="16" fillId="0" borderId="8" xfId="2" applyFont="1" applyFill="1" applyBorder="1" applyAlignment="1">
      <alignment horizontal="left"/>
    </xf>
    <xf numFmtId="3" fontId="16" fillId="0" borderId="9" xfId="2" applyNumberFormat="1" applyFont="1" applyFill="1" applyBorder="1" applyAlignment="1">
      <alignment vertical="center" wrapText="1"/>
    </xf>
    <xf numFmtId="0" fontId="13" fillId="0" borderId="13" xfId="0" applyFont="1" applyFill="1" applyBorder="1" applyAlignment="1">
      <alignment horizontal="left"/>
    </xf>
    <xf numFmtId="0" fontId="5" fillId="0" borderId="3" xfId="0" applyFont="1" applyFill="1" applyBorder="1" applyAlignment="1">
      <alignment horizontal="center"/>
    </xf>
    <xf numFmtId="0" fontId="5" fillId="0" borderId="14" xfId="0" applyFont="1" applyFill="1" applyBorder="1" applyAlignment="1">
      <alignment horizontal="center"/>
    </xf>
    <xf numFmtId="2" fontId="0" fillId="5" borderId="39" xfId="0" applyNumberFormat="1" applyFill="1" applyBorder="1"/>
    <xf numFmtId="0" fontId="0" fillId="0" borderId="0" xfId="0" applyFill="1"/>
    <xf numFmtId="0" fontId="6" fillId="5" borderId="38" xfId="0" applyFont="1" applyFill="1" applyBorder="1" applyAlignment="1">
      <alignment horizontal="center"/>
    </xf>
    <xf numFmtId="9" fontId="6" fillId="5" borderId="38" xfId="1" applyFont="1" applyFill="1" applyBorder="1" applyAlignment="1">
      <alignment horizontal="center"/>
    </xf>
    <xf numFmtId="9" fontId="6" fillId="5" borderId="41" xfId="1" applyFont="1" applyFill="1" applyBorder="1" applyAlignment="1">
      <alignment horizontal="center"/>
    </xf>
    <xf numFmtId="0" fontId="5" fillId="5" borderId="37" xfId="0" applyFont="1" applyFill="1" applyBorder="1"/>
    <xf numFmtId="0" fontId="5" fillId="5" borderId="15" xfId="0" applyFont="1" applyFill="1" applyBorder="1"/>
    <xf numFmtId="0" fontId="5" fillId="5" borderId="34" xfId="0" applyFont="1" applyFill="1" applyBorder="1"/>
    <xf numFmtId="0" fontId="5" fillId="5" borderId="35" xfId="0" applyFont="1" applyFill="1" applyBorder="1"/>
    <xf numFmtId="0" fontId="7" fillId="5" borderId="7" xfId="0" applyFont="1" applyFill="1" applyBorder="1" applyAlignment="1">
      <alignment horizontal="center"/>
    </xf>
    <xf numFmtId="0" fontId="0" fillId="5" borderId="3" xfId="0" applyFill="1" applyBorder="1"/>
    <xf numFmtId="0" fontId="0" fillId="5" borderId="14" xfId="0" applyFill="1" applyBorder="1"/>
    <xf numFmtId="0" fontId="5" fillId="5" borderId="51" xfId="0" applyFont="1" applyFill="1" applyBorder="1"/>
    <xf numFmtId="9" fontId="0" fillId="5" borderId="43" xfId="1" applyFont="1" applyFill="1" applyBorder="1"/>
    <xf numFmtId="9" fontId="0" fillId="5" borderId="44" xfId="1" applyFont="1" applyFill="1" applyBorder="1"/>
    <xf numFmtId="9" fontId="0" fillId="5" borderId="11" xfId="1" applyFont="1" applyFill="1" applyBorder="1"/>
    <xf numFmtId="9" fontId="0" fillId="5" borderId="12" xfId="1" applyFont="1" applyFill="1" applyBorder="1"/>
    <xf numFmtId="0" fontId="5" fillId="5" borderId="33" xfId="0" applyFont="1" applyFill="1" applyBorder="1"/>
    <xf numFmtId="2" fontId="0" fillId="5" borderId="46" xfId="0" applyNumberFormat="1" applyFill="1" applyBorder="1"/>
    <xf numFmtId="2" fontId="0" fillId="5" borderId="3" xfId="0" applyNumberFormat="1" applyFill="1" applyBorder="1"/>
    <xf numFmtId="2" fontId="0" fillId="5" borderId="14" xfId="0" applyNumberFormat="1" applyFill="1" applyBorder="1"/>
    <xf numFmtId="2" fontId="0" fillId="5" borderId="43" xfId="0" applyNumberFormat="1" applyFill="1" applyBorder="1"/>
    <xf numFmtId="2" fontId="0" fillId="5" borderId="44" xfId="0" applyNumberFormat="1" applyFill="1" applyBorder="1"/>
    <xf numFmtId="0" fontId="0" fillId="0" borderId="7" xfId="0" applyBorder="1"/>
    <xf numFmtId="0" fontId="0" fillId="7" borderId="23" xfId="0" applyFill="1" applyBorder="1" applyAlignment="1"/>
    <xf numFmtId="0" fontId="0" fillId="7" borderId="0" xfId="0" applyFill="1" applyBorder="1" applyAlignment="1"/>
    <xf numFmtId="0" fontId="0" fillId="7" borderId="24" xfId="0" applyFill="1" applyBorder="1" applyAlignment="1"/>
    <xf numFmtId="0" fontId="5" fillId="8" borderId="8" xfId="0" applyFont="1" applyFill="1" applyBorder="1"/>
    <xf numFmtId="0" fontId="5" fillId="8" borderId="10" xfId="0" applyFont="1" applyFill="1" applyBorder="1"/>
    <xf numFmtId="0" fontId="5" fillId="8" borderId="8" xfId="0" applyFont="1" applyFill="1" applyBorder="1" applyAlignment="1">
      <alignment horizontal="center" vertical="center"/>
    </xf>
    <xf numFmtId="0" fontId="5" fillId="8" borderId="2" xfId="0" applyFont="1" applyFill="1" applyBorder="1" applyAlignment="1">
      <alignment horizontal="center" vertical="center" wrapText="1"/>
    </xf>
    <xf numFmtId="0" fontId="18" fillId="8" borderId="2"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9" xfId="0" applyFont="1" applyFill="1" applyBorder="1" applyAlignment="1">
      <alignment horizontal="center" vertical="center"/>
    </xf>
    <xf numFmtId="0" fontId="5" fillId="8" borderId="8" xfId="0" applyFont="1" applyFill="1" applyBorder="1" applyAlignment="1">
      <alignment horizontal="left"/>
    </xf>
    <xf numFmtId="9" fontId="5" fillId="8" borderId="9" xfId="1" applyFont="1" applyFill="1" applyBorder="1" applyAlignment="1">
      <alignment horizontal="center"/>
    </xf>
    <xf numFmtId="3" fontId="1" fillId="8" borderId="9" xfId="2" applyNumberFormat="1" applyFont="1" applyFill="1" applyBorder="1" applyAlignment="1"/>
    <xf numFmtId="3" fontId="1" fillId="8" borderId="9" xfId="2" applyNumberFormat="1" applyFont="1" applyFill="1" applyBorder="1" applyAlignment="1">
      <alignment vertical="center" wrapText="1"/>
    </xf>
    <xf numFmtId="0" fontId="1" fillId="8" borderId="9" xfId="0" applyFont="1" applyFill="1" applyBorder="1"/>
    <xf numFmtId="2" fontId="1" fillId="8" borderId="2" xfId="0" applyNumberFormat="1" applyFont="1" applyFill="1" applyBorder="1"/>
    <xf numFmtId="2" fontId="1" fillId="8" borderId="9" xfId="0" applyNumberFormat="1" applyFont="1" applyFill="1" applyBorder="1"/>
    <xf numFmtId="0" fontId="5" fillId="8" borderId="45" xfId="0" applyFont="1" applyFill="1" applyBorder="1" applyAlignment="1">
      <alignment horizontal="left"/>
    </xf>
    <xf numFmtId="2" fontId="1" fillId="8" borderId="39" xfId="0" applyNumberFormat="1" applyFont="1" applyFill="1" applyBorder="1"/>
    <xf numFmtId="2" fontId="1" fillId="8" borderId="46" xfId="0" applyNumberFormat="1" applyFont="1" applyFill="1" applyBorder="1"/>
    <xf numFmtId="0" fontId="5" fillId="9" borderId="4" xfId="0" applyFont="1" applyFill="1" applyBorder="1" applyAlignment="1">
      <alignment horizontal="left"/>
    </xf>
    <xf numFmtId="2" fontId="4" fillId="9" borderId="5" xfId="0" applyNumberFormat="1" applyFont="1" applyFill="1" applyBorder="1"/>
    <xf numFmtId="2" fontId="4" fillId="9" borderId="6" xfId="0" applyNumberFormat="1" applyFont="1" applyFill="1" applyBorder="1"/>
    <xf numFmtId="10" fontId="0" fillId="8" borderId="9" xfId="0" applyNumberFormat="1" applyFill="1" applyBorder="1"/>
    <xf numFmtId="10" fontId="0" fillId="8" borderId="9" xfId="1" applyNumberFormat="1" applyFont="1" applyFill="1" applyBorder="1"/>
    <xf numFmtId="0" fontId="0" fillId="8" borderId="45" xfId="0" applyFill="1" applyBorder="1"/>
    <xf numFmtId="0" fontId="0" fillId="8" borderId="13" xfId="0" applyFill="1" applyBorder="1"/>
    <xf numFmtId="0" fontId="0" fillId="8" borderId="3" xfId="0" applyFill="1" applyBorder="1"/>
    <xf numFmtId="0" fontId="0" fillId="8" borderId="14" xfId="0" applyFill="1" applyBorder="1"/>
    <xf numFmtId="0" fontId="4" fillId="8" borderId="4" xfId="0" applyFont="1" applyFill="1" applyBorder="1"/>
    <xf numFmtId="0" fontId="4" fillId="8" borderId="6" xfId="0" applyFont="1" applyFill="1" applyBorder="1"/>
    <xf numFmtId="3" fontId="0" fillId="8" borderId="46" xfId="0" applyNumberFormat="1" applyFill="1" applyBorder="1"/>
    <xf numFmtId="0" fontId="0" fillId="8" borderId="50" xfId="0" applyFill="1" applyBorder="1"/>
    <xf numFmtId="0" fontId="0" fillId="8" borderId="55" xfId="0" applyFill="1" applyBorder="1"/>
    <xf numFmtId="10" fontId="4" fillId="8" borderId="6" xfId="1" applyNumberFormat="1" applyFont="1" applyFill="1" applyBorder="1"/>
    <xf numFmtId="164" fontId="0" fillId="8" borderId="2" xfId="0" applyNumberFormat="1" applyFill="1" applyBorder="1"/>
    <xf numFmtId="164" fontId="0" fillId="8" borderId="9" xfId="0" applyNumberFormat="1" applyFill="1" applyBorder="1"/>
    <xf numFmtId="164" fontId="11" fillId="8" borderId="2" xfId="2" applyNumberFormat="1" applyFont="1" applyFill="1" applyBorder="1" applyAlignment="1"/>
    <xf numFmtId="164" fontId="0" fillId="8" borderId="39" xfId="0" applyNumberFormat="1" applyFill="1" applyBorder="1"/>
    <xf numFmtId="164" fontId="0" fillId="8" borderId="46" xfId="0" applyNumberFormat="1" applyFill="1" applyBorder="1"/>
    <xf numFmtId="164" fontId="4" fillId="8" borderId="5" xfId="0" applyNumberFormat="1" applyFont="1" applyFill="1" applyBorder="1"/>
    <xf numFmtId="164" fontId="4" fillId="8" borderId="6" xfId="0" applyNumberFormat="1" applyFont="1" applyFill="1" applyBorder="1"/>
    <xf numFmtId="0" fontId="12" fillId="11" borderId="20" xfId="0" applyFont="1" applyFill="1" applyBorder="1" applyAlignment="1">
      <alignment horizontal="center" wrapText="1"/>
    </xf>
    <xf numFmtId="0" fontId="14" fillId="11" borderId="21" xfId="0" applyFont="1" applyFill="1" applyBorder="1" applyAlignment="1">
      <alignment horizontal="center" wrapText="1"/>
    </xf>
    <xf numFmtId="0" fontId="14" fillId="11" borderId="22" xfId="0" applyFont="1" applyFill="1" applyBorder="1" applyAlignment="1">
      <alignment horizontal="center" wrapText="1"/>
    </xf>
    <xf numFmtId="0" fontId="14" fillId="11" borderId="23" xfId="0" applyFont="1" applyFill="1" applyBorder="1" applyAlignment="1">
      <alignment horizontal="center" wrapText="1"/>
    </xf>
    <xf numFmtId="0" fontId="14" fillId="11" borderId="0" xfId="0" applyFont="1" applyFill="1" applyBorder="1" applyAlignment="1">
      <alignment horizontal="center" wrapText="1"/>
    </xf>
    <xf numFmtId="0" fontId="14" fillId="11" borderId="24" xfId="0" applyFont="1" applyFill="1" applyBorder="1" applyAlignment="1">
      <alignment horizontal="center" wrapText="1"/>
    </xf>
    <xf numFmtId="0" fontId="6" fillId="11" borderId="23" xfId="0" applyFont="1" applyFill="1" applyBorder="1" applyAlignment="1">
      <alignment horizontal="center"/>
    </xf>
    <xf numFmtId="0" fontId="14" fillId="11" borderId="0" xfId="0" applyFont="1" applyFill="1" applyBorder="1" applyAlignment="1">
      <alignment horizontal="center"/>
    </xf>
    <xf numFmtId="0" fontId="14" fillId="11" borderId="24" xfId="0" applyFont="1" applyFill="1" applyBorder="1" applyAlignment="1">
      <alignment horizontal="center"/>
    </xf>
    <xf numFmtId="0" fontId="6" fillId="11" borderId="25" xfId="0" applyFont="1" applyFill="1" applyBorder="1" applyAlignment="1">
      <alignment horizontal="center" wrapText="1"/>
    </xf>
    <xf numFmtId="0" fontId="6" fillId="11" borderId="26" xfId="0" applyFont="1" applyFill="1" applyBorder="1" applyAlignment="1">
      <alignment horizontal="center" wrapText="1"/>
    </xf>
    <xf numFmtId="0" fontId="6" fillId="11" borderId="27" xfId="0" applyFont="1" applyFill="1" applyBorder="1" applyAlignment="1">
      <alignment horizontal="center" wrapText="1"/>
    </xf>
    <xf numFmtId="0" fontId="7" fillId="5" borderId="16" xfId="0" applyFont="1" applyFill="1" applyBorder="1" applyAlignment="1">
      <alignment horizontal="center" wrapText="1"/>
    </xf>
    <xf numFmtId="0" fontId="7" fillId="5" borderId="17" xfId="0" applyFont="1" applyFill="1" applyBorder="1" applyAlignment="1">
      <alignment horizontal="center" wrapText="1"/>
    </xf>
    <xf numFmtId="0" fontId="7" fillId="5" borderId="18" xfId="0" applyFont="1" applyFill="1" applyBorder="1" applyAlignment="1">
      <alignment horizontal="center" wrapText="1"/>
    </xf>
    <xf numFmtId="0" fontId="17" fillId="5" borderId="4" xfId="0" applyFont="1" applyFill="1" applyBorder="1" applyAlignment="1">
      <alignment horizontal="center" wrapText="1"/>
    </xf>
    <xf numFmtId="0" fontId="17" fillId="5" borderId="5" xfId="0" applyFont="1" applyFill="1" applyBorder="1" applyAlignment="1">
      <alignment horizontal="center" wrapText="1"/>
    </xf>
    <xf numFmtId="0" fontId="17" fillId="5" borderId="6" xfId="0" applyFont="1" applyFill="1" applyBorder="1" applyAlignment="1">
      <alignment horizontal="center" wrapText="1"/>
    </xf>
    <xf numFmtId="0" fontId="7" fillId="5" borderId="47" xfId="0" applyFont="1" applyFill="1" applyBorder="1" applyAlignment="1">
      <alignment horizontal="center" wrapText="1"/>
    </xf>
    <xf numFmtId="0" fontId="7" fillId="5" borderId="52" xfId="0" applyFont="1" applyFill="1" applyBorder="1" applyAlignment="1">
      <alignment horizontal="center" wrapText="1"/>
    </xf>
    <xf numFmtId="0" fontId="9" fillId="7" borderId="23" xfId="0" applyFont="1" applyFill="1" applyBorder="1" applyAlignment="1">
      <alignment horizontal="center" wrapText="1"/>
    </xf>
    <xf numFmtId="0" fontId="9" fillId="7" borderId="0" xfId="0" applyFont="1" applyFill="1" applyBorder="1" applyAlignment="1">
      <alignment horizontal="center" wrapText="1"/>
    </xf>
    <xf numFmtId="0" fontId="9" fillId="7" borderId="24" xfId="0" applyFont="1" applyFill="1" applyBorder="1" applyAlignment="1">
      <alignment horizontal="center" wrapText="1"/>
    </xf>
    <xf numFmtId="0" fontId="9" fillId="7" borderId="25" xfId="0" applyFont="1" applyFill="1" applyBorder="1" applyAlignment="1">
      <alignment horizontal="center" wrapText="1"/>
    </xf>
    <xf numFmtId="0" fontId="9" fillId="7" borderId="26" xfId="0" applyFont="1" applyFill="1" applyBorder="1" applyAlignment="1">
      <alignment horizontal="center" wrapText="1"/>
    </xf>
    <xf numFmtId="0" fontId="9" fillId="7" borderId="27" xfId="0" applyFont="1" applyFill="1" applyBorder="1" applyAlignment="1">
      <alignment horizontal="center" wrapText="1"/>
    </xf>
    <xf numFmtId="0" fontId="17" fillId="7" borderId="20" xfId="0" applyFont="1" applyFill="1" applyBorder="1" applyAlignment="1">
      <alignment horizontal="center" wrapText="1"/>
    </xf>
    <xf numFmtId="0" fontId="17" fillId="7" borderId="21" xfId="0" applyFont="1" applyFill="1" applyBorder="1" applyAlignment="1">
      <alignment horizontal="center" wrapText="1"/>
    </xf>
    <xf numFmtId="0" fontId="17" fillId="7" borderId="22" xfId="0" applyFont="1" applyFill="1" applyBorder="1" applyAlignment="1">
      <alignment horizontal="center" wrapText="1"/>
    </xf>
    <xf numFmtId="0" fontId="12" fillId="7" borderId="20" xfId="0" applyFont="1" applyFill="1" applyBorder="1" applyAlignment="1">
      <alignment horizontal="center"/>
    </xf>
    <xf numFmtId="0" fontId="12" fillId="7" borderId="21" xfId="0" applyFont="1" applyFill="1" applyBorder="1" applyAlignment="1">
      <alignment horizontal="center"/>
    </xf>
    <xf numFmtId="0" fontId="12" fillId="7" borderId="22" xfId="0" applyFont="1" applyFill="1" applyBorder="1" applyAlignment="1">
      <alignment horizontal="center"/>
    </xf>
    <xf numFmtId="0" fontId="12" fillId="9" borderId="30" xfId="0" applyFont="1" applyFill="1" applyBorder="1" applyAlignment="1">
      <alignment horizontal="center" wrapText="1"/>
    </xf>
    <xf numFmtId="0" fontId="12" fillId="9" borderId="31" xfId="0" applyFont="1" applyFill="1" applyBorder="1" applyAlignment="1">
      <alignment horizontal="center" wrapText="1"/>
    </xf>
    <xf numFmtId="0" fontId="12" fillId="9" borderId="32" xfId="0" applyFont="1" applyFill="1" applyBorder="1" applyAlignment="1">
      <alignment horizontal="center" wrapText="1"/>
    </xf>
    <xf numFmtId="0" fontId="5" fillId="9" borderId="20" xfId="0" applyFont="1" applyFill="1" applyBorder="1" applyAlignment="1">
      <alignment horizontal="left" wrapText="1"/>
    </xf>
    <xf numFmtId="0" fontId="6" fillId="9" borderId="21" xfId="0" applyFont="1" applyFill="1" applyBorder="1" applyAlignment="1">
      <alignment horizontal="left" wrapText="1"/>
    </xf>
    <xf numFmtId="0" fontId="6" fillId="9" borderId="22" xfId="0" applyFont="1" applyFill="1" applyBorder="1" applyAlignment="1">
      <alignment horizontal="left" wrapText="1"/>
    </xf>
    <xf numFmtId="0" fontId="6" fillId="9" borderId="25" xfId="0" applyFont="1" applyFill="1" applyBorder="1" applyAlignment="1">
      <alignment horizontal="left" wrapText="1"/>
    </xf>
    <xf numFmtId="0" fontId="6" fillId="9" borderId="26" xfId="0" applyFont="1" applyFill="1" applyBorder="1" applyAlignment="1">
      <alignment horizontal="left" wrapText="1"/>
    </xf>
    <xf numFmtId="0" fontId="6" fillId="9" borderId="27" xfId="0" applyFont="1" applyFill="1" applyBorder="1" applyAlignment="1">
      <alignment horizontal="left" wrapText="1"/>
    </xf>
    <xf numFmtId="0" fontId="11" fillId="7" borderId="23" xfId="0" applyFont="1" applyFill="1" applyBorder="1" applyAlignment="1">
      <alignment horizontal="left" wrapText="1"/>
    </xf>
    <xf numFmtId="0" fontId="11" fillId="7" borderId="0" xfId="0" applyFont="1" applyFill="1" applyBorder="1" applyAlignment="1">
      <alignment horizontal="left" wrapText="1"/>
    </xf>
    <xf numFmtId="0" fontId="11" fillId="7" borderId="24" xfId="0" applyFont="1" applyFill="1" applyBorder="1" applyAlignment="1">
      <alignment horizontal="left" wrapText="1"/>
    </xf>
    <xf numFmtId="0" fontId="11" fillId="7" borderId="25" xfId="0" applyFont="1" applyFill="1" applyBorder="1" applyAlignment="1">
      <alignment horizontal="left" wrapText="1"/>
    </xf>
    <xf numFmtId="0" fontId="11" fillId="7" borderId="26" xfId="0" applyFont="1" applyFill="1" applyBorder="1" applyAlignment="1">
      <alignment horizontal="left" wrapText="1"/>
    </xf>
    <xf numFmtId="0" fontId="11" fillId="7" borderId="27" xfId="0" applyFont="1" applyFill="1" applyBorder="1" applyAlignment="1">
      <alignment horizontal="left" wrapText="1"/>
    </xf>
    <xf numFmtId="0" fontId="0" fillId="7" borderId="23" xfId="0" applyFont="1" applyFill="1" applyBorder="1" applyAlignment="1">
      <alignment horizontal="left" wrapText="1"/>
    </xf>
    <xf numFmtId="0" fontId="0" fillId="7" borderId="0" xfId="0" applyFont="1" applyFill="1" applyBorder="1" applyAlignment="1">
      <alignment horizontal="left" wrapText="1"/>
    </xf>
    <xf numFmtId="0" fontId="0" fillId="7" borderId="24" xfId="0" applyFont="1" applyFill="1" applyBorder="1" applyAlignment="1">
      <alignment horizontal="left" wrapText="1"/>
    </xf>
    <xf numFmtId="0" fontId="7" fillId="9" borderId="20" xfId="0" applyFont="1" applyFill="1" applyBorder="1" applyAlignment="1">
      <alignment horizontal="center" wrapText="1"/>
    </xf>
    <xf numFmtId="0" fontId="7" fillId="9" borderId="21" xfId="0" applyFont="1" applyFill="1" applyBorder="1" applyAlignment="1">
      <alignment horizontal="center" wrapText="1"/>
    </xf>
    <xf numFmtId="0" fontId="7" fillId="9" borderId="22" xfId="0" applyFont="1" applyFill="1" applyBorder="1" applyAlignment="1">
      <alignment horizontal="center" wrapText="1"/>
    </xf>
    <xf numFmtId="0" fontId="10" fillId="7" borderId="20" xfId="0" applyFont="1" applyFill="1" applyBorder="1" applyAlignment="1">
      <alignment horizontal="left"/>
    </xf>
    <xf numFmtId="0" fontId="10" fillId="7" borderId="21" xfId="0" applyFont="1" applyFill="1" applyBorder="1" applyAlignment="1">
      <alignment horizontal="left"/>
    </xf>
    <xf numFmtId="0" fontId="10" fillId="7" borderId="22" xfId="0" applyFont="1" applyFill="1" applyBorder="1" applyAlignment="1">
      <alignment horizontal="left"/>
    </xf>
    <xf numFmtId="0" fontId="10" fillId="7" borderId="20" xfId="0" applyFont="1" applyFill="1" applyBorder="1" applyAlignment="1">
      <alignment horizontal="center"/>
    </xf>
    <xf numFmtId="0" fontId="10" fillId="7" borderId="21" xfId="0" applyFont="1" applyFill="1" applyBorder="1" applyAlignment="1">
      <alignment horizontal="center"/>
    </xf>
    <xf numFmtId="0" fontId="10" fillId="7" borderId="22" xfId="0" applyFont="1" applyFill="1" applyBorder="1" applyAlignment="1">
      <alignment horizontal="center"/>
    </xf>
    <xf numFmtId="0" fontId="11" fillId="7" borderId="25" xfId="0" applyFont="1" applyFill="1" applyBorder="1" applyAlignment="1">
      <alignment horizontal="left"/>
    </xf>
    <xf numFmtId="0" fontId="11" fillId="7" borderId="26" xfId="0" applyFont="1" applyFill="1" applyBorder="1" applyAlignment="1">
      <alignment horizontal="left"/>
    </xf>
    <xf numFmtId="0" fontId="11" fillId="7" borderId="27" xfId="0" applyFont="1" applyFill="1" applyBorder="1" applyAlignment="1">
      <alignment horizontal="left"/>
    </xf>
    <xf numFmtId="0" fontId="10" fillId="7" borderId="23" xfId="0" applyFont="1" applyFill="1" applyBorder="1" applyAlignment="1">
      <alignment horizontal="center"/>
    </xf>
    <xf numFmtId="0" fontId="10" fillId="7" borderId="0" xfId="0" applyFont="1" applyFill="1" applyBorder="1" applyAlignment="1">
      <alignment horizontal="center"/>
    </xf>
    <xf numFmtId="0" fontId="10" fillId="7" borderId="24" xfId="0" applyFont="1" applyFill="1" applyBorder="1" applyAlignment="1">
      <alignment horizontal="center"/>
    </xf>
    <xf numFmtId="0" fontId="7" fillId="10" borderId="42" xfId="0" applyFont="1" applyFill="1" applyBorder="1" applyAlignment="1">
      <alignment horizontal="center" wrapText="1"/>
    </xf>
    <xf numFmtId="0" fontId="0" fillId="10" borderId="43" xfId="0" applyFill="1" applyBorder="1" applyAlignment="1">
      <alignment horizontal="center" wrapText="1"/>
    </xf>
    <xf numFmtId="0" fontId="0" fillId="10" borderId="44" xfId="0" applyFill="1" applyBorder="1" applyAlignment="1">
      <alignment horizontal="center" wrapText="1"/>
    </xf>
    <xf numFmtId="0" fontId="0" fillId="10" borderId="8" xfId="0" applyFill="1" applyBorder="1" applyAlignment="1">
      <alignment horizontal="center" wrapText="1"/>
    </xf>
    <xf numFmtId="0" fontId="0" fillId="10" borderId="2" xfId="0" applyFill="1" applyBorder="1" applyAlignment="1">
      <alignment horizontal="center" wrapText="1"/>
    </xf>
    <xf numFmtId="0" fontId="0" fillId="10" borderId="9" xfId="0" applyFill="1" applyBorder="1" applyAlignment="1">
      <alignment horizontal="center" wrapText="1"/>
    </xf>
    <xf numFmtId="0" fontId="0" fillId="8" borderId="20" xfId="0" applyFill="1" applyBorder="1" applyAlignment="1">
      <alignment horizontal="left" wrapText="1"/>
    </xf>
    <xf numFmtId="0" fontId="0" fillId="8" borderId="21" xfId="0" applyFill="1" applyBorder="1" applyAlignment="1">
      <alignment horizontal="left" wrapText="1"/>
    </xf>
    <xf numFmtId="0" fontId="0" fillId="8" borderId="22" xfId="0" applyFill="1" applyBorder="1" applyAlignment="1">
      <alignment horizontal="left" wrapText="1"/>
    </xf>
    <xf numFmtId="0" fontId="0" fillId="8" borderId="23" xfId="0" applyFill="1" applyBorder="1" applyAlignment="1">
      <alignment horizontal="left" wrapText="1"/>
    </xf>
    <xf numFmtId="0" fontId="0" fillId="8" borderId="0" xfId="0" applyFill="1" applyBorder="1" applyAlignment="1">
      <alignment horizontal="left" wrapText="1"/>
    </xf>
    <xf numFmtId="0" fontId="0" fillId="8" borderId="24" xfId="0" applyFill="1" applyBorder="1" applyAlignment="1">
      <alignment horizontal="left" wrapText="1"/>
    </xf>
    <xf numFmtId="0" fontId="0" fillId="8" borderId="25" xfId="0" applyFill="1" applyBorder="1" applyAlignment="1">
      <alignment horizontal="left" wrapText="1"/>
    </xf>
    <xf numFmtId="0" fontId="0" fillId="8" borderId="26" xfId="0" applyFill="1" applyBorder="1" applyAlignment="1">
      <alignment horizontal="left" wrapText="1"/>
    </xf>
    <xf numFmtId="0" fontId="0" fillId="8" borderId="27" xfId="0" applyFill="1" applyBorder="1" applyAlignment="1">
      <alignment horizontal="left" wrapText="1"/>
    </xf>
    <xf numFmtId="0" fontId="0" fillId="8" borderId="53" xfId="0" applyFill="1" applyBorder="1" applyAlignment="1">
      <alignment horizontal="center" wrapText="1"/>
    </xf>
    <xf numFmtId="0" fontId="0" fillId="8" borderId="40" xfId="0" applyFill="1" applyBorder="1" applyAlignment="1">
      <alignment horizontal="center" wrapText="1"/>
    </xf>
    <xf numFmtId="0" fontId="0" fillId="8" borderId="49" xfId="0" applyFill="1" applyBorder="1" applyAlignment="1">
      <alignment horizontal="center" wrapText="1"/>
    </xf>
    <xf numFmtId="0" fontId="5" fillId="8" borderId="30" xfId="0" applyFont="1" applyFill="1" applyBorder="1" applyAlignment="1">
      <alignment horizontal="center" wrapText="1"/>
    </xf>
    <xf numFmtId="0" fontId="5" fillId="8" borderId="32" xfId="0" applyFont="1" applyFill="1" applyBorder="1" applyAlignment="1">
      <alignment horizontal="center" wrapText="1"/>
    </xf>
    <xf numFmtId="0" fontId="5" fillId="8" borderId="31" xfId="0" applyFont="1" applyFill="1" applyBorder="1" applyAlignment="1">
      <alignment horizontal="center" wrapText="1"/>
    </xf>
    <xf numFmtId="0" fontId="5" fillId="8" borderId="20" xfId="0" applyFont="1" applyFill="1" applyBorder="1" applyAlignment="1">
      <alignment horizontal="center" wrapText="1"/>
    </xf>
    <xf numFmtId="0" fontId="5" fillId="8" borderId="22" xfId="0" applyFont="1" applyFill="1" applyBorder="1" applyAlignment="1">
      <alignment horizontal="center" wrapText="1"/>
    </xf>
    <xf numFmtId="0" fontId="5" fillId="8" borderId="54" xfId="0" applyFont="1" applyFill="1" applyBorder="1" applyAlignment="1">
      <alignment horizontal="center" wrapText="1"/>
    </xf>
    <xf numFmtId="0" fontId="5" fillId="8" borderId="48" xfId="0" applyFont="1" applyFill="1" applyBorder="1" applyAlignment="1">
      <alignment horizontal="center" wrapText="1"/>
    </xf>
    <xf numFmtId="0" fontId="15" fillId="8" borderId="28" xfId="0" applyFont="1" applyFill="1" applyBorder="1" applyAlignment="1">
      <alignment horizontal="center" wrapText="1"/>
    </xf>
    <xf numFmtId="0" fontId="15" fillId="8" borderId="29" xfId="0" applyFont="1" applyFill="1" applyBorder="1" applyAlignment="1">
      <alignment horizontal="center" wrapText="1"/>
    </xf>
    <xf numFmtId="0" fontId="15" fillId="8" borderId="19" xfId="0" applyFont="1" applyFill="1" applyBorder="1" applyAlignment="1">
      <alignment horizontal="center" wrapText="1"/>
    </xf>
    <xf numFmtId="0" fontId="0" fillId="8" borderId="36" xfId="0" applyFill="1" applyBorder="1" applyAlignment="1">
      <alignment horizontal="center" wrapText="1"/>
    </xf>
  </cellXfs>
  <cellStyles count="3">
    <cellStyle name="20% - Accent1" xfId="2" builtinId="30"/>
    <cellStyle name="Normal" xfId="0" builtinId="0"/>
    <cellStyle name="Percent" xfId="1" builtinId="5"/>
  </cellStyles>
  <dxfs count="11">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general" vertical="center" textRotation="0" wrapText="1" indent="0" justifyLastLine="0" shrinkToFit="0" readingOrder="0"/>
      <border diagonalUp="0" diagonalDown="0">
        <left style="thin">
          <color auto="1"/>
        </left>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left" vertical="bottom" textRotation="0" wrapText="0" indent="0"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border outline="0">
        <top style="thin">
          <color indexed="64"/>
        </top>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general"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2"/>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thin">
          <color auto="1"/>
        </left>
        <right style="thin">
          <color auto="1"/>
        </right>
        <top/>
        <bottom/>
        <vertical style="thin">
          <color auto="1"/>
        </vertical>
        <horizontal style="thin">
          <color auto="1"/>
        </horizontal>
      </border>
    </dxf>
  </dxfs>
  <tableStyles count="0" defaultTableStyle="TableStyleMedium2" defaultPivotStyle="PivotStyleLight16"/>
  <colors>
    <mruColors>
      <color rgb="FFDFEFF1"/>
      <color rgb="FFFFFFFF"/>
      <color rgb="FFEAEAE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Profitability</a:t>
            </a:r>
            <a:r>
              <a:rPr lang="en-US" sz="1100" baseline="0"/>
              <a:t> Trends (OPM vs NPM)</a:t>
            </a:r>
            <a:endParaRPr lang="en-US" sz="1100"/>
          </a:p>
        </c:rich>
      </c:tx>
      <c:layout/>
      <c:overlay val="0"/>
    </c:title>
    <c:autoTitleDeleted val="0"/>
    <c:plotArea>
      <c:layout>
        <c:manualLayout>
          <c:layoutTarget val="inner"/>
          <c:xMode val="edge"/>
          <c:yMode val="edge"/>
          <c:x val="9.8736445193234074E-2"/>
          <c:y val="0.21012513885202552"/>
          <c:w val="0.51768084402002779"/>
          <c:h val="0.60382396020722129"/>
        </c:manualLayout>
      </c:layout>
      <c:lineChart>
        <c:grouping val="standard"/>
        <c:varyColors val="0"/>
        <c:ser>
          <c:idx val="0"/>
          <c:order val="0"/>
          <c:tx>
            <c:strRef>
              <c:f>'Financial Ratios'!$B$3</c:f>
              <c:strCache>
                <c:ptCount val="1"/>
                <c:pt idx="0">
                  <c:v>Operating Profit Margin(OPM)</c:v>
                </c:pt>
              </c:strCache>
            </c:strRef>
          </c:tx>
          <c:cat>
            <c:strRef>
              <c:f>'Financial Ratios'!$C$2:$G$2</c:f>
              <c:strCache>
                <c:ptCount val="5"/>
                <c:pt idx="0">
                  <c:v>FY 2022</c:v>
                </c:pt>
                <c:pt idx="1">
                  <c:v>FY 2023</c:v>
                </c:pt>
                <c:pt idx="2">
                  <c:v>FY 2024</c:v>
                </c:pt>
                <c:pt idx="3">
                  <c:v>FY 2025</c:v>
                </c:pt>
                <c:pt idx="4">
                  <c:v>FY 2026</c:v>
                </c:pt>
              </c:strCache>
            </c:strRef>
          </c:cat>
          <c:val>
            <c:numRef>
              <c:f>'Financial Ratios'!$C$3:$G$3</c:f>
              <c:numCache>
                <c:formatCode>0%</c:formatCode>
                <c:ptCount val="5"/>
                <c:pt idx="0">
                  <c:v>0.13835010060362174</c:v>
                </c:pt>
                <c:pt idx="1">
                  <c:v>0.13465863745193354</c:v>
                </c:pt>
                <c:pt idx="2">
                  <c:v>0.15020386689464685</c:v>
                </c:pt>
                <c:pt idx="3">
                  <c:v>0.14070836644341014</c:v>
                </c:pt>
                <c:pt idx="4">
                  <c:v>0.13760473139477575</c:v>
                </c:pt>
              </c:numCache>
            </c:numRef>
          </c:val>
          <c:smooth val="0"/>
        </c:ser>
        <c:ser>
          <c:idx val="1"/>
          <c:order val="1"/>
          <c:tx>
            <c:strRef>
              <c:f>'Financial Ratios'!$B$4</c:f>
              <c:strCache>
                <c:ptCount val="1"/>
                <c:pt idx="0">
                  <c:v>Net Profit Margin(NPM)</c:v>
                </c:pt>
              </c:strCache>
            </c:strRef>
          </c:tx>
          <c:cat>
            <c:strRef>
              <c:f>'Financial Ratios'!$C$2:$G$2</c:f>
              <c:strCache>
                <c:ptCount val="5"/>
                <c:pt idx="0">
                  <c:v>FY 2022</c:v>
                </c:pt>
                <c:pt idx="1">
                  <c:v>FY 2023</c:v>
                </c:pt>
                <c:pt idx="2">
                  <c:v>FY 2024</c:v>
                </c:pt>
                <c:pt idx="3">
                  <c:v>FY 2025</c:v>
                </c:pt>
                <c:pt idx="4">
                  <c:v>FY 2026</c:v>
                </c:pt>
              </c:strCache>
            </c:strRef>
          </c:cat>
          <c:val>
            <c:numRef>
              <c:f>'Financial Ratios'!$C$4:$G$4</c:f>
              <c:numCache>
                <c:formatCode>0%</c:formatCode>
                <c:ptCount val="5"/>
                <c:pt idx="0">
                  <c:v>8.1690140845070425E-2</c:v>
                </c:pt>
                <c:pt idx="1">
                  <c:v>9.5770151636073428E-2</c:v>
                </c:pt>
                <c:pt idx="2">
                  <c:v>7.9902669998684728E-2</c:v>
                </c:pt>
                <c:pt idx="3">
                  <c:v>7.3050289476671582E-2</c:v>
                </c:pt>
                <c:pt idx="4">
                  <c:v>7.6244455396747166E-2</c:v>
                </c:pt>
              </c:numCache>
            </c:numRef>
          </c:val>
          <c:smooth val="0"/>
        </c:ser>
        <c:dLbls>
          <c:showLegendKey val="0"/>
          <c:showVal val="0"/>
          <c:showCatName val="0"/>
          <c:showSerName val="0"/>
          <c:showPercent val="0"/>
          <c:showBubbleSize val="0"/>
        </c:dLbls>
        <c:marker val="1"/>
        <c:smooth val="0"/>
        <c:axId val="41082880"/>
        <c:axId val="41084416"/>
      </c:lineChart>
      <c:catAx>
        <c:axId val="41082880"/>
        <c:scaling>
          <c:orientation val="minMax"/>
        </c:scaling>
        <c:delete val="0"/>
        <c:axPos val="b"/>
        <c:majorTickMark val="out"/>
        <c:minorTickMark val="none"/>
        <c:tickLblPos val="nextTo"/>
        <c:crossAx val="41084416"/>
        <c:crosses val="autoZero"/>
        <c:auto val="1"/>
        <c:lblAlgn val="ctr"/>
        <c:lblOffset val="100"/>
        <c:noMultiLvlLbl val="0"/>
      </c:catAx>
      <c:valAx>
        <c:axId val="41084416"/>
        <c:scaling>
          <c:orientation val="minMax"/>
        </c:scaling>
        <c:delete val="0"/>
        <c:axPos val="l"/>
        <c:majorGridlines/>
        <c:numFmt formatCode="0%" sourceLinked="1"/>
        <c:majorTickMark val="out"/>
        <c:minorTickMark val="none"/>
        <c:tickLblPos val="nextTo"/>
        <c:crossAx val="41082880"/>
        <c:crosses val="autoZero"/>
        <c:crossBetween val="between"/>
      </c:valAx>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plotArea>
    <c:legend>
      <c:legendPos val="r"/>
      <c:layout>
        <c:manualLayout>
          <c:xMode val="edge"/>
          <c:yMode val="edge"/>
          <c:x val="0.65227965057559656"/>
          <c:y val="0.21361893322656705"/>
          <c:w val="0.29865889906202747"/>
          <c:h val="0.60636638640508922"/>
        </c:manualLayout>
      </c:layout>
      <c:overlay val="0"/>
    </c:legend>
    <c:plotVisOnly val="1"/>
    <c:dispBlanksAs val="gap"/>
    <c:showDLblsOverMax val="0"/>
  </c:chart>
  <c:spPr>
    <a:solidFill>
      <a:schemeClr val="bg1">
        <a:lumMod val="95000"/>
      </a:schemeClr>
    </a:solidFill>
    <a:ln>
      <a:solidFill>
        <a:schemeClr val="accent1"/>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Liquidity</a:t>
            </a:r>
            <a:r>
              <a:rPr lang="en-US" sz="1100" baseline="0"/>
              <a:t> Trends (Current Ratio vs Quick Ratio) </a:t>
            </a:r>
            <a:endParaRPr lang="en-US" sz="1100"/>
          </a:p>
        </c:rich>
      </c:tx>
      <c:layout>
        <c:manualLayout>
          <c:xMode val="edge"/>
          <c:yMode val="edge"/>
          <c:x val="0.14524273048546096"/>
          <c:y val="3.4440357745826287E-2"/>
        </c:manualLayout>
      </c:layout>
      <c:overlay val="0"/>
    </c:title>
    <c:autoTitleDeleted val="0"/>
    <c:plotArea>
      <c:layout>
        <c:manualLayout>
          <c:layoutTarget val="inner"/>
          <c:xMode val="edge"/>
          <c:yMode val="edge"/>
          <c:x val="0.1290409035949158"/>
          <c:y val="0.23981040344640464"/>
          <c:w val="0.5379663294067133"/>
          <c:h val="0.50111397777405486"/>
        </c:manualLayout>
      </c:layout>
      <c:lineChart>
        <c:grouping val="standard"/>
        <c:varyColors val="0"/>
        <c:ser>
          <c:idx val="0"/>
          <c:order val="0"/>
          <c:tx>
            <c:strRef>
              <c:f>'Financial Ratios'!$B$10</c:f>
              <c:strCache>
                <c:ptCount val="1"/>
                <c:pt idx="0">
                  <c:v>Current Ratio </c:v>
                </c:pt>
              </c:strCache>
            </c:strRef>
          </c:tx>
          <c:cat>
            <c:strRef>
              <c:f>'Financial Ratios'!$C$2:$G$2</c:f>
              <c:strCache>
                <c:ptCount val="5"/>
                <c:pt idx="0">
                  <c:v>FY 2022</c:v>
                </c:pt>
                <c:pt idx="1">
                  <c:v>FY 2023</c:v>
                </c:pt>
                <c:pt idx="2">
                  <c:v>FY 2024</c:v>
                </c:pt>
                <c:pt idx="3">
                  <c:v>FY 2025</c:v>
                </c:pt>
                <c:pt idx="4">
                  <c:v>FY 2026</c:v>
                </c:pt>
              </c:strCache>
            </c:strRef>
          </c:cat>
          <c:val>
            <c:numRef>
              <c:f>'Financial Ratios'!$C$10:$G$10</c:f>
              <c:numCache>
                <c:formatCode>0.00</c:formatCode>
                <c:ptCount val="5"/>
                <c:pt idx="0">
                  <c:v>2.9759916492693113</c:v>
                </c:pt>
                <c:pt idx="1">
                  <c:v>2.6818568994889267</c:v>
                </c:pt>
                <c:pt idx="2">
                  <c:v>2.2608053195419284</c:v>
                </c:pt>
                <c:pt idx="3">
                  <c:v>2.0775370581527937</c:v>
                </c:pt>
                <c:pt idx="4">
                  <c:v>2.089032258064516</c:v>
                </c:pt>
              </c:numCache>
            </c:numRef>
          </c:val>
          <c:smooth val="0"/>
        </c:ser>
        <c:ser>
          <c:idx val="1"/>
          <c:order val="1"/>
          <c:tx>
            <c:strRef>
              <c:f>'Financial Ratios'!$B$11</c:f>
              <c:strCache>
                <c:ptCount val="1"/>
                <c:pt idx="0">
                  <c:v>Quick Ratio</c:v>
                </c:pt>
              </c:strCache>
            </c:strRef>
          </c:tx>
          <c:cat>
            <c:strRef>
              <c:f>'Financial Ratios'!$C$2:$G$2</c:f>
              <c:strCache>
                <c:ptCount val="5"/>
                <c:pt idx="0">
                  <c:v>FY 2022</c:v>
                </c:pt>
                <c:pt idx="1">
                  <c:v>FY 2023</c:v>
                </c:pt>
                <c:pt idx="2">
                  <c:v>FY 2024</c:v>
                </c:pt>
                <c:pt idx="3">
                  <c:v>FY 2025</c:v>
                </c:pt>
                <c:pt idx="4">
                  <c:v>FY 2026</c:v>
                </c:pt>
              </c:strCache>
            </c:strRef>
          </c:cat>
          <c:val>
            <c:numRef>
              <c:f>'Financial Ratios'!$C$11:$G$11</c:f>
              <c:numCache>
                <c:formatCode>0.00</c:formatCode>
                <c:ptCount val="5"/>
                <c:pt idx="0">
                  <c:v>1.7927974947807934</c:v>
                </c:pt>
                <c:pt idx="1">
                  <c:v>1.5310902896081773</c:v>
                </c:pt>
                <c:pt idx="2">
                  <c:v>1.2379017362393794</c:v>
                </c:pt>
                <c:pt idx="3">
                  <c:v>1.0513112884834663</c:v>
                </c:pt>
                <c:pt idx="4">
                  <c:v>1.1788387096774193</c:v>
                </c:pt>
              </c:numCache>
            </c:numRef>
          </c:val>
          <c:smooth val="0"/>
        </c:ser>
        <c:dLbls>
          <c:showLegendKey val="0"/>
          <c:showVal val="0"/>
          <c:showCatName val="0"/>
          <c:showSerName val="0"/>
          <c:showPercent val="0"/>
          <c:showBubbleSize val="0"/>
        </c:dLbls>
        <c:marker val="1"/>
        <c:smooth val="0"/>
        <c:axId val="41126144"/>
        <c:axId val="41127936"/>
      </c:lineChart>
      <c:catAx>
        <c:axId val="41126144"/>
        <c:scaling>
          <c:orientation val="minMax"/>
        </c:scaling>
        <c:delete val="0"/>
        <c:axPos val="b"/>
        <c:majorTickMark val="out"/>
        <c:minorTickMark val="none"/>
        <c:tickLblPos val="nextTo"/>
        <c:crossAx val="41127936"/>
        <c:crosses val="autoZero"/>
        <c:auto val="1"/>
        <c:lblAlgn val="ctr"/>
        <c:lblOffset val="100"/>
        <c:noMultiLvlLbl val="0"/>
      </c:catAx>
      <c:valAx>
        <c:axId val="41127936"/>
        <c:scaling>
          <c:orientation val="minMax"/>
        </c:scaling>
        <c:delete val="0"/>
        <c:axPos val="l"/>
        <c:majorGridlines/>
        <c:numFmt formatCode="0.00" sourceLinked="1"/>
        <c:majorTickMark val="out"/>
        <c:minorTickMark val="none"/>
        <c:tickLblPos val="nextTo"/>
        <c:crossAx val="41126144"/>
        <c:crosses val="autoZero"/>
        <c:crossBetween val="between"/>
      </c:valAx>
      <c:spPr>
        <a:solidFill>
          <a:schemeClr val="accent1">
            <a:lumMod val="20000"/>
            <a:lumOff val="80000"/>
          </a:schemeClr>
        </a:solidFill>
      </c:spPr>
    </c:plotArea>
    <c:legend>
      <c:legendPos val="r"/>
      <c:layout>
        <c:manualLayout>
          <c:xMode val="edge"/>
          <c:yMode val="edge"/>
          <c:x val="0.73042531481317641"/>
          <c:y val="0.19608890660819298"/>
          <c:w val="0.22746999321713998"/>
          <c:h val="0.66588082872619647"/>
        </c:manualLayout>
      </c:layout>
      <c:overlay val="0"/>
    </c:legend>
    <c:plotVisOnly val="1"/>
    <c:dispBlanksAs val="gap"/>
    <c:showDLblsOverMax val="0"/>
  </c:chart>
  <c:spPr>
    <a:solidFill>
      <a:schemeClr val="bg1">
        <a:lumMod val="95000"/>
      </a:schemeClr>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xdr:colOff>
      <xdr:row>2</xdr:row>
      <xdr:rowOff>28576</xdr:rowOff>
    </xdr:from>
    <xdr:to>
      <xdr:col>7</xdr:col>
      <xdr:colOff>581025</xdr:colOff>
      <xdr:row>13</xdr:row>
      <xdr:rowOff>180976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xdr:colOff>
      <xdr:row>2</xdr:row>
      <xdr:rowOff>38100</xdr:rowOff>
    </xdr:from>
    <xdr:to>
      <xdr:col>16</xdr:col>
      <xdr:colOff>0</xdr:colOff>
      <xdr:row>13</xdr:row>
      <xdr:rowOff>171450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304800</xdr:colOff>
      <xdr:row>3</xdr:row>
      <xdr:rowOff>104775</xdr:rowOff>
    </xdr:to>
    <xdr:sp macro="" textlink="">
      <xdr:nvSpPr>
        <xdr:cNvPr id="4097" name="AutoShape 1" descr="https://cdn-media.screener.in/company-logos/thumbnails/f2e9df98bbb39d58c63b2688.webp"/>
        <xdr:cNvSpPr>
          <a:spLocks noChangeAspect="1" noChangeArrowheads="1"/>
        </xdr:cNvSpPr>
      </xdr:nvSpPr>
      <xdr:spPr bwMode="auto">
        <a:xfrm>
          <a:off x="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3" name="AutoShape 1" descr="https://cdn-media.screener.in/company-logos/thumbnails/f2e9df98bbb39d58c63b2688.webp"/>
        <xdr:cNvSpPr>
          <a:spLocks noChangeAspect="1" noChangeArrowheads="1"/>
        </xdr:cNvSpPr>
      </xdr:nvSpPr>
      <xdr:spPr bwMode="auto">
        <a:xfrm>
          <a:off x="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304800</xdr:colOff>
      <xdr:row>0</xdr:row>
      <xdr:rowOff>190500</xdr:rowOff>
    </xdr:to>
    <xdr:sp macro="" textlink="">
      <xdr:nvSpPr>
        <xdr:cNvPr id="2" name="AutoShape 1" descr="https://cdn-media.screener.in/company-logos/thumbnails/f2e9df98bbb39d58c63b2688.webp"/>
        <xdr:cNvSpPr>
          <a:spLocks noChangeAspect="1" noChangeArrowheads="1"/>
        </xdr:cNvSpPr>
      </xdr:nvSpPr>
      <xdr:spPr bwMode="auto">
        <a:xfrm>
          <a:off x="2143125" y="32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id="2" name="Table2" displayName="Table2" ref="A5:F23" totalsRowShown="0" headerRowDxfId="10" dataDxfId="8" headerRowBorderDxfId="9" tableBorderDxfId="7" totalsRowBorderDxfId="6" dataCellStyle="20% - Accent1">
  <tableColumns count="6">
    <tableColumn id="1" name="Particulars(Rs. In Cr)" dataDxfId="5" dataCellStyle="20% - Accent1"/>
    <tableColumn id="2" name="FY 2022" dataDxfId="4" dataCellStyle="20% - Accent1"/>
    <tableColumn id="3" name="FY 2023" dataDxfId="3" dataCellStyle="20% - Accent1"/>
    <tableColumn id="4" name="FY 2024" dataDxfId="2" dataCellStyle="20% - Accent1"/>
    <tableColumn id="5" name="FY 2025" dataDxfId="1" dataCellStyle="20% - Accent1"/>
    <tableColumn id="6" name="FY 2026" dataDxfId="0" dataCellStyle="20% - Accent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zoomScaleNormal="100" workbookViewId="0">
      <selection activeCell="H7" sqref="H7"/>
    </sheetView>
  </sheetViews>
  <sheetFormatPr defaultRowHeight="15" x14ac:dyDescent="0.25"/>
  <cols>
    <col min="1" max="1" width="31.85546875" style="5" customWidth="1"/>
    <col min="2" max="6" width="15.7109375" customWidth="1"/>
    <col min="7" max="7" width="13.7109375" customWidth="1"/>
  </cols>
  <sheetData>
    <row r="1" spans="1:8" x14ac:dyDescent="0.25">
      <c r="A1" s="137" t="s">
        <v>137</v>
      </c>
      <c r="B1" s="138"/>
      <c r="C1" s="138"/>
      <c r="D1" s="138"/>
      <c r="E1" s="138"/>
      <c r="F1" s="139"/>
    </row>
    <row r="2" spans="1:8" x14ac:dyDescent="0.25">
      <c r="A2" s="140"/>
      <c r="B2" s="141"/>
      <c r="C2" s="141"/>
      <c r="D2" s="141"/>
      <c r="E2" s="141"/>
      <c r="F2" s="142"/>
    </row>
    <row r="3" spans="1:8" ht="21" x14ac:dyDescent="0.35">
      <c r="A3" s="143" t="s">
        <v>139</v>
      </c>
      <c r="B3" s="144"/>
      <c r="C3" s="144"/>
      <c r="D3" s="144"/>
      <c r="E3" s="144"/>
      <c r="F3" s="145"/>
    </row>
    <row r="4" spans="1:8" ht="16.5" thickBot="1" x14ac:dyDescent="0.3">
      <c r="A4" s="146" t="s">
        <v>140</v>
      </c>
      <c r="B4" s="147"/>
      <c r="C4" s="147"/>
      <c r="D4" s="147"/>
      <c r="E4" s="147"/>
      <c r="F4" s="148"/>
    </row>
    <row r="5" spans="1:8" ht="20.25" thickBot="1" x14ac:dyDescent="0.45">
      <c r="A5" s="68" t="s">
        <v>138</v>
      </c>
      <c r="B5" s="69" t="s">
        <v>0</v>
      </c>
      <c r="C5" s="69" t="s">
        <v>1</v>
      </c>
      <c r="D5" s="69" t="s">
        <v>2</v>
      </c>
      <c r="E5" s="69" t="s">
        <v>3</v>
      </c>
      <c r="F5" s="70" t="s">
        <v>4</v>
      </c>
      <c r="G5" s="53"/>
    </row>
    <row r="6" spans="1:8" ht="15.75" thickBot="1" x14ac:dyDescent="0.3">
      <c r="A6" s="60" t="s">
        <v>5</v>
      </c>
      <c r="B6" s="54">
        <v>12425</v>
      </c>
      <c r="C6" s="54">
        <v>13783</v>
      </c>
      <c r="D6" s="54">
        <v>15206</v>
      </c>
      <c r="E6" s="54">
        <v>17618</v>
      </c>
      <c r="F6" s="61">
        <v>20290</v>
      </c>
      <c r="H6" s="94"/>
    </row>
    <row r="7" spans="1:8" x14ac:dyDescent="0.25">
      <c r="A7" s="60" t="s">
        <v>9</v>
      </c>
      <c r="B7" s="54">
        <v>10707</v>
      </c>
      <c r="C7" s="55">
        <v>11927</v>
      </c>
      <c r="D7" s="54">
        <v>12922</v>
      </c>
      <c r="E7" s="54">
        <v>15139</v>
      </c>
      <c r="F7" s="61">
        <v>17499</v>
      </c>
    </row>
    <row r="8" spans="1:8" x14ac:dyDescent="0.25">
      <c r="A8" s="60" t="s">
        <v>10</v>
      </c>
      <c r="B8" s="56">
        <v>73</v>
      </c>
      <c r="C8" s="56">
        <v>87</v>
      </c>
      <c r="D8" s="56">
        <v>130</v>
      </c>
      <c r="E8" s="57">
        <v>290</v>
      </c>
      <c r="F8" s="62">
        <v>137</v>
      </c>
    </row>
    <row r="9" spans="1:8" x14ac:dyDescent="0.25">
      <c r="A9" s="60" t="s">
        <v>11</v>
      </c>
      <c r="B9" s="57">
        <v>278</v>
      </c>
      <c r="C9" s="56">
        <v>304</v>
      </c>
      <c r="D9" s="56">
        <v>377</v>
      </c>
      <c r="E9" s="56">
        <v>377</v>
      </c>
      <c r="F9" s="62">
        <v>627</v>
      </c>
    </row>
    <row r="10" spans="1:8" ht="15.75" thickBot="1" x14ac:dyDescent="0.3">
      <c r="A10" s="60" t="s">
        <v>8</v>
      </c>
      <c r="B10" s="54">
        <v>1719</v>
      </c>
      <c r="C10" s="54">
        <v>1856</v>
      </c>
      <c r="D10" s="55">
        <v>2284</v>
      </c>
      <c r="E10" s="54">
        <v>2479</v>
      </c>
      <c r="F10" s="61">
        <v>2792</v>
      </c>
    </row>
    <row r="11" spans="1:8" x14ac:dyDescent="0.25">
      <c r="A11" s="60" t="s">
        <v>7</v>
      </c>
      <c r="B11" s="55">
        <v>1456</v>
      </c>
      <c r="C11" s="54">
        <v>1794</v>
      </c>
      <c r="D11" s="55">
        <v>1696</v>
      </c>
      <c r="E11" s="54">
        <v>1777</v>
      </c>
      <c r="F11" s="64">
        <v>2173</v>
      </c>
      <c r="G11" s="2"/>
    </row>
    <row r="12" spans="1:8" x14ac:dyDescent="0.25">
      <c r="A12" s="60" t="s">
        <v>6</v>
      </c>
      <c r="B12" s="54">
        <v>1015</v>
      </c>
      <c r="C12" s="54">
        <v>1320</v>
      </c>
      <c r="D12" s="54">
        <v>1215</v>
      </c>
      <c r="E12" s="54">
        <v>1287</v>
      </c>
      <c r="F12" s="61">
        <v>1547</v>
      </c>
    </row>
    <row r="13" spans="1:8" x14ac:dyDescent="0.25">
      <c r="A13" s="60" t="s">
        <v>12</v>
      </c>
      <c r="B13" s="56">
        <v>92</v>
      </c>
      <c r="C13" s="56">
        <v>93</v>
      </c>
      <c r="D13" s="56">
        <v>95</v>
      </c>
      <c r="E13" s="56">
        <v>99</v>
      </c>
      <c r="F13" s="62">
        <v>99</v>
      </c>
    </row>
    <row r="14" spans="1:8" x14ac:dyDescent="0.25">
      <c r="A14" s="60" t="s">
        <v>13</v>
      </c>
      <c r="B14" s="54">
        <v>15050</v>
      </c>
      <c r="C14" s="55">
        <v>16184</v>
      </c>
      <c r="D14" s="54">
        <v>15962</v>
      </c>
      <c r="E14" s="54">
        <v>19902</v>
      </c>
      <c r="F14" s="61">
        <v>21689</v>
      </c>
    </row>
    <row r="15" spans="1:8" x14ac:dyDescent="0.25">
      <c r="A15" s="60" t="s">
        <v>18</v>
      </c>
      <c r="B15" s="55">
        <v>1412</v>
      </c>
      <c r="C15" s="54">
        <v>1600</v>
      </c>
      <c r="D15" s="55">
        <v>3477</v>
      </c>
      <c r="E15" s="55">
        <v>2393</v>
      </c>
      <c r="F15" s="64">
        <v>2393</v>
      </c>
      <c r="G15" s="4"/>
    </row>
    <row r="16" spans="1:8" x14ac:dyDescent="0.25">
      <c r="A16" s="66" t="s">
        <v>14</v>
      </c>
      <c r="B16" s="58">
        <v>21075</v>
      </c>
      <c r="C16" s="58">
        <v>22762</v>
      </c>
      <c r="D16" s="58">
        <v>27879</v>
      </c>
      <c r="E16" s="58">
        <v>31831</v>
      </c>
      <c r="F16" s="67">
        <v>34279</v>
      </c>
    </row>
    <row r="17" spans="1:7" x14ac:dyDescent="0.25">
      <c r="A17" s="66" t="s">
        <v>15</v>
      </c>
      <c r="B17" s="58">
        <v>21075</v>
      </c>
      <c r="C17" s="58">
        <v>22762</v>
      </c>
      <c r="D17" s="58">
        <v>27879</v>
      </c>
      <c r="E17" s="58">
        <v>31831</v>
      </c>
      <c r="F17" s="67">
        <v>34279</v>
      </c>
    </row>
    <row r="18" spans="1:7" x14ac:dyDescent="0.25">
      <c r="A18" s="60" t="s">
        <v>16</v>
      </c>
      <c r="B18" s="55">
        <v>4521</v>
      </c>
      <c r="C18" s="55">
        <v>4886</v>
      </c>
      <c r="D18" s="55">
        <v>8345</v>
      </c>
      <c r="E18" s="55">
        <v>9437</v>
      </c>
      <c r="F18" s="64">
        <v>9672</v>
      </c>
    </row>
    <row r="19" spans="1:7" x14ac:dyDescent="0.25">
      <c r="A19" s="60" t="s">
        <v>19</v>
      </c>
      <c r="B19" s="57">
        <v>835</v>
      </c>
      <c r="C19" s="57">
        <v>798</v>
      </c>
      <c r="D19" s="57">
        <v>897</v>
      </c>
      <c r="E19" s="57">
        <v>870</v>
      </c>
      <c r="F19" s="64">
        <v>1148</v>
      </c>
    </row>
    <row r="20" spans="1:7" x14ac:dyDescent="0.25">
      <c r="A20" s="60" t="s">
        <v>20</v>
      </c>
      <c r="B20" s="55">
        <v>2267</v>
      </c>
      <c r="C20" s="55">
        <v>2702</v>
      </c>
      <c r="D20" s="55">
        <v>2769</v>
      </c>
      <c r="E20" s="55">
        <v>3600</v>
      </c>
      <c r="F20" s="64">
        <v>3527</v>
      </c>
    </row>
    <row r="21" spans="1:7" x14ac:dyDescent="0.25">
      <c r="A21" s="60" t="s">
        <v>21</v>
      </c>
      <c r="B21" s="55">
        <v>2600</v>
      </c>
      <c r="C21" s="55">
        <v>2797</v>
      </c>
      <c r="D21" s="55">
        <v>2454</v>
      </c>
      <c r="E21" s="55">
        <v>2818</v>
      </c>
      <c r="F21" s="64">
        <v>3420</v>
      </c>
    </row>
    <row r="22" spans="1:7" x14ac:dyDescent="0.25">
      <c r="A22" s="60" t="s">
        <v>17</v>
      </c>
      <c r="B22" s="55">
        <v>7431</v>
      </c>
      <c r="C22" s="55">
        <v>7965</v>
      </c>
      <c r="D22" s="55">
        <v>7461</v>
      </c>
      <c r="E22" s="55">
        <v>9167</v>
      </c>
      <c r="F22" s="64">
        <v>10336</v>
      </c>
    </row>
    <row r="23" spans="1:7" ht="15.75" thickBot="1" x14ac:dyDescent="0.3">
      <c r="A23" s="63" t="s">
        <v>22</v>
      </c>
      <c r="B23" s="59">
        <v>1916</v>
      </c>
      <c r="C23" s="59">
        <v>2348</v>
      </c>
      <c r="D23" s="59">
        <v>2707</v>
      </c>
      <c r="E23" s="59">
        <v>3508</v>
      </c>
      <c r="F23" s="65">
        <v>3875</v>
      </c>
    </row>
    <row r="26" spans="1:7" x14ac:dyDescent="0.25">
      <c r="G26" s="1"/>
    </row>
  </sheetData>
  <mergeCells count="3">
    <mergeCell ref="A1:F2"/>
    <mergeCell ref="A3:F3"/>
    <mergeCell ref="A4:F4"/>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selection activeCell="B18" sqref="B18"/>
    </sheetView>
  </sheetViews>
  <sheetFormatPr defaultRowHeight="15" x14ac:dyDescent="0.25"/>
  <cols>
    <col min="1" max="1" width="21.140625" customWidth="1"/>
    <col min="2" max="2" width="39.7109375" customWidth="1"/>
    <col min="3" max="7" width="12.7109375" customWidth="1"/>
    <col min="9" max="9" width="55.85546875" customWidth="1"/>
  </cols>
  <sheetData>
    <row r="1" spans="1:9" ht="38.25" customHeight="1" thickBot="1" x14ac:dyDescent="0.4">
      <c r="A1" s="152" t="s">
        <v>51</v>
      </c>
      <c r="B1" s="153"/>
      <c r="C1" s="153"/>
      <c r="D1" s="153"/>
      <c r="E1" s="153"/>
      <c r="F1" s="153"/>
      <c r="G1" s="154"/>
    </row>
    <row r="2" spans="1:9" ht="22.5" customHeight="1" thickBot="1" x14ac:dyDescent="0.35">
      <c r="A2" s="80" t="s">
        <v>23</v>
      </c>
      <c r="B2" s="76"/>
      <c r="C2" s="73" t="s">
        <v>0</v>
      </c>
      <c r="D2" s="74" t="s">
        <v>1</v>
      </c>
      <c r="E2" s="74" t="s">
        <v>2</v>
      </c>
      <c r="F2" s="74" t="s">
        <v>3</v>
      </c>
      <c r="G2" s="75" t="s">
        <v>4</v>
      </c>
    </row>
    <row r="3" spans="1:9" ht="15.75" x14ac:dyDescent="0.25">
      <c r="A3" s="155" t="s">
        <v>144</v>
      </c>
      <c r="B3" s="83" t="s">
        <v>24</v>
      </c>
      <c r="C3" s="84">
        <f>'Raw Data'!B10/'Raw Data'!B6</f>
        <v>0.13835010060362174</v>
      </c>
      <c r="D3" s="84">
        <f>'Raw Data'!C10/'Raw Data'!C6</f>
        <v>0.13465863745193354</v>
      </c>
      <c r="E3" s="84">
        <f>'Raw Data'!D10/'Raw Data'!D6</f>
        <v>0.15020386689464685</v>
      </c>
      <c r="F3" s="84">
        <f>'Raw Data'!E10/'Raw Data'!E6</f>
        <v>0.14070836644341014</v>
      </c>
      <c r="G3" s="85">
        <f>'Raw Data'!F10/'Raw Data'!F6</f>
        <v>0.13760473139477575</v>
      </c>
      <c r="I3" s="8" t="s">
        <v>27</v>
      </c>
    </row>
    <row r="4" spans="1:9" ht="15.75" x14ac:dyDescent="0.25">
      <c r="A4" s="150"/>
      <c r="B4" s="78" t="s">
        <v>25</v>
      </c>
      <c r="C4" s="6">
        <f>'Raw Data'!B12/'Raw Data'!B6</f>
        <v>8.1690140845070425E-2</v>
      </c>
      <c r="D4" s="6">
        <f>'Raw Data'!C12/'Raw Data'!C6</f>
        <v>9.5770151636073428E-2</v>
      </c>
      <c r="E4" s="6">
        <f>'Raw Data'!D12/'Raw Data'!D6</f>
        <v>7.9902669998684728E-2</v>
      </c>
      <c r="F4" s="6">
        <f>'Raw Data'!E12/'Raw Data'!E6</f>
        <v>7.3050289476671582E-2</v>
      </c>
      <c r="G4" s="7">
        <f>'Raw Data'!F12/'Raw Data'!F6</f>
        <v>7.6244455396747166E-2</v>
      </c>
      <c r="I4" s="8" t="s">
        <v>28</v>
      </c>
    </row>
    <row r="5" spans="1:9" ht="16.5" thickBot="1" x14ac:dyDescent="0.3">
      <c r="A5" s="151"/>
      <c r="B5" s="79" t="s">
        <v>26</v>
      </c>
      <c r="C5" s="86">
        <f>('Raw Data'!B12)/('Raw Data'!B13+'Raw Data'!B14)</f>
        <v>6.7032096156386209E-2</v>
      </c>
      <c r="D5" s="86">
        <f>'Raw Data'!C12/('Raw Data'!C13+'Raw Data'!C14)</f>
        <v>8.1096025066044117E-2</v>
      </c>
      <c r="E5" s="86">
        <f>'Raw Data'!D12/('Raw Data'!D13+'Raw Data'!D14)</f>
        <v>7.5667932988727662E-2</v>
      </c>
      <c r="F5" s="86">
        <f>'Raw Data'!E12/('Raw Data'!E13+'Raw Data'!E14)</f>
        <v>6.4346782660866964E-2</v>
      </c>
      <c r="G5" s="87">
        <f>'Raw Data'!F12/('Raw Data'!F13+'Raw Data'!F14)</f>
        <v>7.1002386634844872E-2</v>
      </c>
      <c r="I5" s="8" t="s">
        <v>31</v>
      </c>
    </row>
    <row r="6" spans="1:9" ht="15.75" x14ac:dyDescent="0.25">
      <c r="A6" s="149" t="s">
        <v>145</v>
      </c>
      <c r="B6" s="77"/>
      <c r="C6" s="81"/>
      <c r="D6" s="81"/>
      <c r="E6" s="81"/>
      <c r="F6" s="81"/>
      <c r="G6" s="82"/>
      <c r="I6" s="8" t="s">
        <v>30</v>
      </c>
    </row>
    <row r="7" spans="1:9" ht="15.75" x14ac:dyDescent="0.25">
      <c r="A7" s="150"/>
      <c r="B7" s="78" t="s">
        <v>29</v>
      </c>
      <c r="C7" s="9">
        <f>('Raw Data'!B15)/('Raw Data'!B13+'Raw Data'!B14)</f>
        <v>9.325056135252939E-2</v>
      </c>
      <c r="D7" s="9">
        <f>('Raw Data'!C15)/('Raw Data'!C13+'Raw Data'!C14)</f>
        <v>9.8298212201265583E-2</v>
      </c>
      <c r="E7" s="9">
        <f>('Raw Data'!D15)/('Raw Data'!D13+'Raw Data'!D14)</f>
        <v>0.21654107242947002</v>
      </c>
      <c r="F7" s="9">
        <f>('Raw Data'!E15)/('Raw Data'!E13+'Raw Data'!E14)</f>
        <v>0.11964401779911005</v>
      </c>
      <c r="G7" s="10">
        <f>('Raw Data'!F15)/('Raw Data'!F13+'Raw Data'!F14)</f>
        <v>0.1098310996879016</v>
      </c>
      <c r="I7" s="8" t="s">
        <v>143</v>
      </c>
    </row>
    <row r="8" spans="1:9" ht="16.5" thickBot="1" x14ac:dyDescent="0.3">
      <c r="A8" s="156"/>
      <c r="B8" s="88" t="s">
        <v>141</v>
      </c>
      <c r="C8" s="71">
        <f>'Raw Data'!B10/'Raw Data'!B8</f>
        <v>23.547945205479451</v>
      </c>
      <c r="D8" s="71">
        <f>'Raw Data'!C10/'Raw Data'!C8</f>
        <v>21.333333333333332</v>
      </c>
      <c r="E8" s="71">
        <f>'Raw Data'!D10/'Raw Data'!D8</f>
        <v>17.569230769230771</v>
      </c>
      <c r="F8" s="71">
        <f>'Raw Data'!E10/'Raw Data'!E8</f>
        <v>8.5482758620689658</v>
      </c>
      <c r="G8" s="89">
        <f>'Raw Data'!F10/'Raw Data'!F8</f>
        <v>20.37956204379562</v>
      </c>
      <c r="I8" s="8" t="s">
        <v>34</v>
      </c>
    </row>
    <row r="9" spans="1:9" ht="15.75" x14ac:dyDescent="0.25">
      <c r="A9" s="155" t="s">
        <v>146</v>
      </c>
      <c r="B9" s="83"/>
      <c r="C9" s="92"/>
      <c r="D9" s="92"/>
      <c r="E9" s="92"/>
      <c r="F9" s="92"/>
      <c r="G9" s="93"/>
      <c r="I9" s="8" t="s">
        <v>35</v>
      </c>
    </row>
    <row r="10" spans="1:9" ht="15.75" x14ac:dyDescent="0.25">
      <c r="A10" s="150"/>
      <c r="B10" s="78" t="s">
        <v>32</v>
      </c>
      <c r="C10" s="9">
        <f>('Raw Data'!B19+'Raw Data'!B20+'Raw Data'!B21)/('Raw Data'!B23)</f>
        <v>2.9759916492693113</v>
      </c>
      <c r="D10" s="9">
        <f>('Raw Data'!C19+'Raw Data'!C20+'Raw Data'!C21)/('Raw Data'!C23)</f>
        <v>2.6818568994889267</v>
      </c>
      <c r="E10" s="9">
        <f>('Raw Data'!D19+'Raw Data'!D20+'Raw Data'!D21)/('Raw Data'!D23)</f>
        <v>2.2608053195419284</v>
      </c>
      <c r="F10" s="9">
        <f>('Raw Data'!E19+'Raw Data'!E20+'Raw Data'!E21)/('Raw Data'!E23)</f>
        <v>2.0775370581527937</v>
      </c>
      <c r="G10" s="10">
        <f>('Raw Data'!F19+'Raw Data'!F20+'Raw Data'!F21)/('Raw Data'!F23)</f>
        <v>2.089032258064516</v>
      </c>
      <c r="I10" s="8" t="s">
        <v>38</v>
      </c>
    </row>
    <row r="11" spans="1:9" ht="16.5" thickBot="1" x14ac:dyDescent="0.3">
      <c r="A11" s="151"/>
      <c r="B11" s="79" t="s">
        <v>33</v>
      </c>
      <c r="C11" s="11">
        <f>('Raw Data'!B19+'Raw Data'!B21)/('Raw Data'!B23)</f>
        <v>1.7927974947807934</v>
      </c>
      <c r="D11" s="11">
        <f>('Raw Data'!C19+'Raw Data'!C21)/('Raw Data'!C23)</f>
        <v>1.5310902896081773</v>
      </c>
      <c r="E11" s="11">
        <f>('Raw Data'!D19+'Raw Data'!D21)/('Raw Data'!D23)</f>
        <v>1.2379017362393794</v>
      </c>
      <c r="F11" s="11">
        <f>('Raw Data'!E19+'Raw Data'!E21)/('Raw Data'!E23)</f>
        <v>1.0513112884834663</v>
      </c>
      <c r="G11" s="12">
        <f>('Raw Data'!F19+'Raw Data'!F21)/('Raw Data'!F23)</f>
        <v>1.1788387096774193</v>
      </c>
      <c r="I11" s="8" t="s">
        <v>142</v>
      </c>
    </row>
    <row r="12" spans="1:9" ht="15.75" x14ac:dyDescent="0.25">
      <c r="A12" s="149" t="s">
        <v>147</v>
      </c>
      <c r="B12" s="77"/>
      <c r="C12" s="90"/>
      <c r="D12" s="90"/>
      <c r="E12" s="90"/>
      <c r="F12" s="90"/>
      <c r="G12" s="91"/>
    </row>
    <row r="13" spans="1:9" ht="15.75" x14ac:dyDescent="0.25">
      <c r="A13" s="150"/>
      <c r="B13" s="78" t="s">
        <v>36</v>
      </c>
      <c r="C13" s="9">
        <f>'Raw Data'!B6/'Raw Data'!B17</f>
        <v>0.58956109134045076</v>
      </c>
      <c r="D13" s="9">
        <f>'Raw Data'!C6/'Raw Data'!C17</f>
        <v>0.60552675511817944</v>
      </c>
      <c r="E13" s="9">
        <f>'Raw Data'!D6/'Raw Data'!D17</f>
        <v>0.54542845869650991</v>
      </c>
      <c r="F13" s="9">
        <f>'Raw Data'!E6/'Raw Data'!E17</f>
        <v>0.55348559580283374</v>
      </c>
      <c r="G13" s="10">
        <f>'Raw Data'!F6/'Raw Data'!F17</f>
        <v>0.59190758190145565</v>
      </c>
      <c r="H13" s="16"/>
      <c r="I13" s="16"/>
    </row>
    <row r="14" spans="1:9" ht="16.5" thickBot="1" x14ac:dyDescent="0.3">
      <c r="A14" s="151"/>
      <c r="B14" s="79" t="s">
        <v>37</v>
      </c>
      <c r="C14" s="11">
        <f>'Raw Data'!B7/'Raw Data'!B20</f>
        <v>4.7229819144243494</v>
      </c>
      <c r="D14" s="11">
        <f>'Raw Data'!C7/'Raw Data'!C20</f>
        <v>4.4141376757957067</v>
      </c>
      <c r="E14" s="11">
        <f>'Raw Data'!D7/'Raw Data'!D20</f>
        <v>4.666666666666667</v>
      </c>
      <c r="F14" s="11">
        <f>'Raw Data'!E7/'Raw Data'!E20</f>
        <v>4.2052777777777779</v>
      </c>
      <c r="G14" s="12">
        <f>'Raw Data'!F7/'Raw Data'!F20</f>
        <v>4.9614403175503261</v>
      </c>
      <c r="H14" s="16"/>
      <c r="I14" s="16"/>
    </row>
    <row r="15" spans="1:9" x14ac:dyDescent="0.25">
      <c r="H15" s="16"/>
      <c r="I15" s="16"/>
    </row>
    <row r="17" spans="2:2" x14ac:dyDescent="0.25">
      <c r="B17" s="72"/>
    </row>
  </sheetData>
  <mergeCells count="5">
    <mergeCell ref="A12:A14"/>
    <mergeCell ref="A1:G1"/>
    <mergeCell ref="A3:A5"/>
    <mergeCell ref="A6:A8"/>
    <mergeCell ref="A9:A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
  <sheetViews>
    <sheetView workbookViewId="0">
      <selection activeCell="S11" sqref="S11"/>
    </sheetView>
  </sheetViews>
  <sheetFormatPr defaultRowHeight="15" x14ac:dyDescent="0.25"/>
  <cols>
    <col min="13" max="13" width="9.140625" customWidth="1"/>
  </cols>
  <sheetData>
    <row r="1" spans="1:19" ht="34.5" customHeight="1" x14ac:dyDescent="0.35">
      <c r="A1" s="166" t="s">
        <v>52</v>
      </c>
      <c r="B1" s="167"/>
      <c r="C1" s="167"/>
      <c r="D1" s="167"/>
      <c r="E1" s="167"/>
      <c r="F1" s="167"/>
      <c r="G1" s="167"/>
      <c r="H1" s="167"/>
      <c r="I1" s="167"/>
      <c r="J1" s="167"/>
      <c r="K1" s="167"/>
      <c r="L1" s="167"/>
      <c r="M1" s="167"/>
      <c r="N1" s="167"/>
      <c r="O1" s="167"/>
      <c r="P1" s="167"/>
      <c r="Q1" s="168"/>
      <c r="R1" s="15"/>
      <c r="S1" s="15"/>
    </row>
    <row r="2" spans="1:19" x14ac:dyDescent="0.25">
      <c r="A2" s="17"/>
      <c r="B2" s="18"/>
      <c r="C2" s="18"/>
      <c r="D2" s="18"/>
      <c r="E2" s="18"/>
      <c r="F2" s="18"/>
      <c r="G2" s="18"/>
      <c r="H2" s="18"/>
      <c r="I2" s="18"/>
      <c r="J2" s="18"/>
      <c r="K2" s="18"/>
      <c r="L2" s="18"/>
      <c r="M2" s="18"/>
      <c r="N2" s="18"/>
      <c r="O2" s="18"/>
      <c r="P2" s="18"/>
      <c r="Q2" s="19"/>
    </row>
    <row r="3" spans="1:19" x14ac:dyDescent="0.25">
      <c r="A3" s="17"/>
      <c r="B3" s="18"/>
      <c r="C3" s="18"/>
      <c r="D3" s="18"/>
      <c r="E3" s="18"/>
      <c r="F3" s="18"/>
      <c r="G3" s="18"/>
      <c r="H3" s="18"/>
      <c r="I3" s="18"/>
      <c r="J3" s="18"/>
      <c r="K3" s="18"/>
      <c r="L3" s="18"/>
      <c r="M3" s="18"/>
      <c r="N3" s="18"/>
      <c r="O3" s="18"/>
      <c r="P3" s="18"/>
      <c r="Q3" s="19"/>
    </row>
    <row r="4" spans="1:19" x14ac:dyDescent="0.25">
      <c r="A4" s="17"/>
      <c r="B4" s="18"/>
      <c r="C4" s="18"/>
      <c r="D4" s="18"/>
      <c r="E4" s="18"/>
      <c r="F4" s="18"/>
      <c r="G4" s="18"/>
      <c r="H4" s="18"/>
      <c r="I4" s="18"/>
      <c r="J4" s="18"/>
      <c r="K4" s="18"/>
      <c r="L4" s="18"/>
      <c r="M4" s="18"/>
      <c r="N4" s="18"/>
      <c r="O4" s="18"/>
      <c r="P4" s="18"/>
      <c r="Q4" s="19"/>
    </row>
    <row r="5" spans="1:19" x14ac:dyDescent="0.25">
      <c r="A5" s="17"/>
      <c r="B5" s="18"/>
      <c r="C5" s="18"/>
      <c r="D5" s="18"/>
      <c r="E5" s="18"/>
      <c r="F5" s="18"/>
      <c r="G5" s="18"/>
      <c r="H5" s="18"/>
      <c r="I5" s="18"/>
      <c r="J5" s="18"/>
      <c r="K5" s="18"/>
      <c r="L5" s="18"/>
      <c r="M5" s="18"/>
      <c r="N5" s="18"/>
      <c r="O5" s="18"/>
      <c r="P5" s="18"/>
      <c r="Q5" s="19"/>
    </row>
    <row r="6" spans="1:19" x14ac:dyDescent="0.25">
      <c r="A6" s="17"/>
      <c r="B6" s="18"/>
      <c r="C6" s="18"/>
      <c r="D6" s="18"/>
      <c r="E6" s="18"/>
      <c r="F6" s="18"/>
      <c r="G6" s="18"/>
      <c r="H6" s="18"/>
      <c r="I6" s="18"/>
      <c r="J6" s="18"/>
      <c r="K6" s="18"/>
      <c r="L6" s="18"/>
      <c r="M6" s="18"/>
      <c r="N6" s="18"/>
      <c r="O6" s="18"/>
      <c r="P6" s="18"/>
      <c r="Q6" s="19"/>
    </row>
    <row r="7" spans="1:19" x14ac:dyDescent="0.25">
      <c r="A7" s="17"/>
      <c r="B7" s="18"/>
      <c r="C7" s="18"/>
      <c r="D7" s="18"/>
      <c r="E7" s="18"/>
      <c r="F7" s="18"/>
      <c r="G7" s="18"/>
      <c r="H7" s="18"/>
      <c r="I7" s="18"/>
      <c r="J7" s="18"/>
      <c r="K7" s="18"/>
      <c r="L7" s="18"/>
      <c r="M7" s="18"/>
      <c r="N7" s="18"/>
      <c r="O7" s="18"/>
      <c r="P7" s="18"/>
      <c r="Q7" s="19"/>
    </row>
    <row r="8" spans="1:19" x14ac:dyDescent="0.25">
      <c r="A8" s="17"/>
      <c r="B8" s="18"/>
      <c r="C8" s="18"/>
      <c r="D8" s="18"/>
      <c r="E8" s="18"/>
      <c r="F8" s="18"/>
      <c r="G8" s="18"/>
      <c r="H8" s="18"/>
      <c r="I8" s="18"/>
      <c r="J8" s="18"/>
      <c r="K8" s="18"/>
      <c r="L8" s="18"/>
      <c r="M8" s="18"/>
      <c r="N8" s="18"/>
      <c r="O8" s="18"/>
      <c r="P8" s="18"/>
      <c r="Q8" s="19"/>
    </row>
    <row r="9" spans="1:19" x14ac:dyDescent="0.25">
      <c r="A9" s="17"/>
      <c r="B9" s="18"/>
      <c r="C9" s="18"/>
      <c r="D9" s="18"/>
      <c r="E9" s="18"/>
      <c r="F9" s="18"/>
      <c r="G9" s="18"/>
      <c r="H9" s="18"/>
      <c r="I9" s="18"/>
      <c r="J9" s="18"/>
      <c r="K9" s="18"/>
      <c r="L9" s="18"/>
      <c r="M9" s="18"/>
      <c r="N9" s="18"/>
      <c r="O9" s="18"/>
      <c r="P9" s="18"/>
      <c r="Q9" s="19"/>
    </row>
    <row r="10" spans="1:19" x14ac:dyDescent="0.25">
      <c r="A10" s="17"/>
      <c r="B10" s="18"/>
      <c r="C10" s="18"/>
      <c r="D10" s="18"/>
      <c r="E10" s="18"/>
      <c r="F10" s="18"/>
      <c r="G10" s="18"/>
      <c r="H10" s="18"/>
      <c r="I10" s="18"/>
      <c r="J10" s="18"/>
      <c r="K10" s="18"/>
      <c r="L10" s="18"/>
      <c r="M10" s="18"/>
      <c r="N10" s="18"/>
      <c r="O10" s="18"/>
      <c r="P10" s="18"/>
      <c r="Q10" s="19"/>
    </row>
    <row r="11" spans="1:19" x14ac:dyDescent="0.25">
      <c r="A11" s="17"/>
      <c r="B11" s="18"/>
      <c r="C11" s="18"/>
      <c r="D11" s="18"/>
      <c r="E11" s="18"/>
      <c r="F11" s="18"/>
      <c r="G11" s="18"/>
      <c r="H11" s="18"/>
      <c r="I11" s="18"/>
      <c r="J11" s="18"/>
      <c r="K11" s="18"/>
      <c r="L11" s="18"/>
      <c r="M11" s="18"/>
      <c r="N11" s="18"/>
      <c r="O11" s="18"/>
      <c r="P11" s="18"/>
      <c r="Q11" s="19"/>
    </row>
    <row r="12" spans="1:19" x14ac:dyDescent="0.25">
      <c r="A12" s="17"/>
      <c r="B12" s="18"/>
      <c r="C12" s="18"/>
      <c r="D12" s="18"/>
      <c r="E12" s="18"/>
      <c r="F12" s="18"/>
      <c r="G12" s="18"/>
      <c r="H12" s="18"/>
      <c r="I12" s="18"/>
      <c r="J12" s="18"/>
      <c r="K12" s="18"/>
      <c r="L12" s="18"/>
      <c r="M12" s="18"/>
      <c r="N12" s="18"/>
      <c r="O12" s="18"/>
      <c r="P12" s="18"/>
      <c r="Q12" s="19"/>
    </row>
    <row r="13" spans="1:19" x14ac:dyDescent="0.25">
      <c r="A13" s="17"/>
      <c r="B13" s="18"/>
      <c r="C13" s="18"/>
      <c r="D13" s="18"/>
      <c r="E13" s="18"/>
      <c r="F13" s="18"/>
      <c r="G13" s="18"/>
      <c r="H13" s="18"/>
      <c r="I13" s="18"/>
      <c r="J13" s="18"/>
      <c r="K13" s="18"/>
      <c r="L13" s="18"/>
      <c r="M13" s="18"/>
      <c r="N13" s="18"/>
      <c r="O13" s="18"/>
      <c r="P13" s="18"/>
      <c r="Q13" s="19"/>
    </row>
    <row r="14" spans="1:19" x14ac:dyDescent="0.25">
      <c r="A14" s="17"/>
      <c r="B14" s="18"/>
      <c r="C14" s="18"/>
      <c r="D14" s="18"/>
      <c r="E14" s="18"/>
      <c r="F14" s="18"/>
      <c r="G14" s="18"/>
      <c r="H14" s="18"/>
      <c r="I14" s="18"/>
      <c r="J14" s="18"/>
      <c r="K14" s="18"/>
      <c r="L14" s="18"/>
      <c r="M14" s="18"/>
      <c r="N14" s="18"/>
      <c r="O14" s="18"/>
      <c r="P14" s="18"/>
      <c r="Q14" s="19"/>
    </row>
    <row r="15" spans="1:19" x14ac:dyDescent="0.25">
      <c r="A15" s="17"/>
      <c r="B15" s="18"/>
      <c r="C15" s="18"/>
      <c r="D15" s="18"/>
      <c r="E15" s="18"/>
      <c r="F15" s="18"/>
      <c r="G15" s="18"/>
      <c r="H15" s="18"/>
      <c r="I15" s="18"/>
      <c r="J15" s="18"/>
      <c r="K15" s="18"/>
      <c r="L15" s="18"/>
      <c r="M15" s="18"/>
      <c r="N15" s="18"/>
      <c r="O15" s="18"/>
      <c r="P15" s="18"/>
      <c r="Q15" s="19"/>
    </row>
    <row r="16" spans="1:19" x14ac:dyDescent="0.25">
      <c r="A16" s="17"/>
      <c r="B16" s="18"/>
      <c r="C16" s="18"/>
      <c r="D16" s="18"/>
      <c r="E16" s="18"/>
      <c r="F16" s="18"/>
      <c r="G16" s="18"/>
      <c r="H16" s="18"/>
      <c r="I16" s="18"/>
      <c r="J16" s="18"/>
      <c r="K16" s="18"/>
      <c r="L16" s="18"/>
      <c r="M16" s="18"/>
      <c r="N16" s="18"/>
      <c r="O16" s="18"/>
      <c r="P16" s="18"/>
      <c r="Q16" s="19"/>
    </row>
    <row r="17" spans="1:17" ht="15" customHeight="1" thickBot="1" x14ac:dyDescent="0.3">
      <c r="A17" s="17"/>
      <c r="B17" s="18"/>
      <c r="C17" s="18"/>
      <c r="D17" s="18"/>
      <c r="E17" s="18"/>
      <c r="F17" s="18"/>
      <c r="G17" s="18"/>
      <c r="H17" s="18"/>
      <c r="I17" s="18"/>
      <c r="J17" s="18"/>
      <c r="K17" s="18"/>
      <c r="L17" s="18"/>
      <c r="M17" s="18"/>
      <c r="N17" s="18"/>
      <c r="O17" s="18"/>
      <c r="P17" s="18"/>
      <c r="Q17" s="19"/>
    </row>
    <row r="18" spans="1:17" ht="30.75" customHeight="1" x14ac:dyDescent="0.35">
      <c r="A18" s="17"/>
      <c r="B18" s="163" t="s">
        <v>39</v>
      </c>
      <c r="C18" s="164"/>
      <c r="D18" s="164"/>
      <c r="E18" s="164"/>
      <c r="F18" s="164"/>
      <c r="G18" s="164"/>
      <c r="H18" s="164"/>
      <c r="I18" s="164"/>
      <c r="J18" s="164"/>
      <c r="K18" s="164"/>
      <c r="L18" s="164"/>
      <c r="M18" s="164"/>
      <c r="N18" s="164"/>
      <c r="O18" s="164"/>
      <c r="P18" s="165"/>
      <c r="Q18" s="19"/>
    </row>
    <row r="19" spans="1:17" x14ac:dyDescent="0.25">
      <c r="A19" s="17"/>
      <c r="B19" s="95"/>
      <c r="C19" s="96"/>
      <c r="D19" s="96"/>
      <c r="E19" s="96"/>
      <c r="F19" s="96"/>
      <c r="G19" s="96"/>
      <c r="H19" s="96"/>
      <c r="I19" s="96"/>
      <c r="J19" s="96"/>
      <c r="K19" s="96"/>
      <c r="L19" s="96"/>
      <c r="M19" s="96"/>
      <c r="N19" s="96"/>
      <c r="O19" s="96"/>
      <c r="P19" s="97"/>
      <c r="Q19" s="19"/>
    </row>
    <row r="20" spans="1:17" ht="29.25" customHeight="1" x14ac:dyDescent="0.25">
      <c r="A20" s="17"/>
      <c r="B20" s="157" t="s">
        <v>40</v>
      </c>
      <c r="C20" s="158"/>
      <c r="D20" s="158"/>
      <c r="E20" s="158"/>
      <c r="F20" s="158"/>
      <c r="G20" s="158"/>
      <c r="H20" s="158"/>
      <c r="I20" s="158"/>
      <c r="J20" s="158"/>
      <c r="K20" s="158"/>
      <c r="L20" s="158"/>
      <c r="M20" s="158"/>
      <c r="N20" s="158"/>
      <c r="O20" s="158"/>
      <c r="P20" s="159"/>
      <c r="Q20" s="19"/>
    </row>
    <row r="21" spans="1:17" x14ac:dyDescent="0.25">
      <c r="A21" s="17"/>
      <c r="B21" s="95"/>
      <c r="C21" s="96"/>
      <c r="D21" s="96"/>
      <c r="E21" s="96"/>
      <c r="F21" s="96"/>
      <c r="G21" s="96"/>
      <c r="H21" s="96"/>
      <c r="I21" s="96"/>
      <c r="J21" s="96"/>
      <c r="K21" s="96"/>
      <c r="L21" s="96"/>
      <c r="M21" s="96"/>
      <c r="N21" s="96"/>
      <c r="O21" s="96"/>
      <c r="P21" s="97"/>
      <c r="Q21" s="19"/>
    </row>
    <row r="22" spans="1:17" ht="25.5" customHeight="1" x14ac:dyDescent="0.25">
      <c r="A22" s="17"/>
      <c r="B22" s="157" t="s">
        <v>41</v>
      </c>
      <c r="C22" s="158"/>
      <c r="D22" s="158"/>
      <c r="E22" s="158"/>
      <c r="F22" s="158"/>
      <c r="G22" s="158"/>
      <c r="H22" s="158"/>
      <c r="I22" s="158"/>
      <c r="J22" s="158"/>
      <c r="K22" s="158"/>
      <c r="L22" s="158"/>
      <c r="M22" s="158"/>
      <c r="N22" s="158"/>
      <c r="O22" s="158"/>
      <c r="P22" s="159"/>
      <c r="Q22" s="19"/>
    </row>
    <row r="23" spans="1:17" ht="12.75" customHeight="1" x14ac:dyDescent="0.25">
      <c r="A23" s="17"/>
      <c r="B23" s="95"/>
      <c r="C23" s="96"/>
      <c r="D23" s="96"/>
      <c r="E23" s="96"/>
      <c r="F23" s="96"/>
      <c r="G23" s="96"/>
      <c r="H23" s="96"/>
      <c r="I23" s="96"/>
      <c r="J23" s="96"/>
      <c r="K23" s="96"/>
      <c r="L23" s="96"/>
      <c r="M23" s="96"/>
      <c r="N23" s="96"/>
      <c r="O23" s="96"/>
      <c r="P23" s="97"/>
      <c r="Q23" s="19"/>
    </row>
    <row r="24" spans="1:17" ht="30" customHeight="1" thickBot="1" x14ac:dyDescent="0.3">
      <c r="A24" s="17"/>
      <c r="B24" s="160" t="s">
        <v>42</v>
      </c>
      <c r="C24" s="161"/>
      <c r="D24" s="161"/>
      <c r="E24" s="161"/>
      <c r="F24" s="161"/>
      <c r="G24" s="161"/>
      <c r="H24" s="161"/>
      <c r="I24" s="161"/>
      <c r="J24" s="161"/>
      <c r="K24" s="161"/>
      <c r="L24" s="161"/>
      <c r="M24" s="161"/>
      <c r="N24" s="161"/>
      <c r="O24" s="161"/>
      <c r="P24" s="162"/>
      <c r="Q24" s="19"/>
    </row>
    <row r="25" spans="1:17" x14ac:dyDescent="0.25">
      <c r="A25" s="17"/>
      <c r="B25" s="18"/>
      <c r="C25" s="18"/>
      <c r="D25" s="18"/>
      <c r="E25" s="18"/>
      <c r="F25" s="18"/>
      <c r="G25" s="18"/>
      <c r="H25" s="18"/>
      <c r="I25" s="18"/>
      <c r="J25" s="18"/>
      <c r="K25" s="18"/>
      <c r="L25" s="18"/>
      <c r="M25" s="18"/>
      <c r="N25" s="18"/>
      <c r="O25" s="18"/>
      <c r="P25" s="18"/>
      <c r="Q25" s="19"/>
    </row>
    <row r="26" spans="1:17" ht="15.75" thickBot="1" x14ac:dyDescent="0.3">
      <c r="A26" s="20"/>
      <c r="B26" s="21"/>
      <c r="C26" s="21"/>
      <c r="D26" s="21"/>
      <c r="E26" s="21"/>
      <c r="F26" s="21"/>
      <c r="G26" s="21"/>
      <c r="H26" s="21"/>
      <c r="I26" s="21"/>
      <c r="J26" s="21"/>
      <c r="K26" s="21"/>
      <c r="L26" s="21"/>
      <c r="M26" s="21"/>
      <c r="N26" s="21"/>
      <c r="O26" s="21"/>
      <c r="P26" s="21"/>
      <c r="Q26" s="22"/>
    </row>
  </sheetData>
  <sortState ref="A1:S1">
    <sortCondition ref="A1"/>
  </sortState>
  <mergeCells count="5">
    <mergeCell ref="B20:P20"/>
    <mergeCell ref="B22:P22"/>
    <mergeCell ref="B24:P24"/>
    <mergeCell ref="B18:P18"/>
    <mergeCell ref="A1:Q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activeCell="A12" sqref="A12:G13"/>
    </sheetView>
  </sheetViews>
  <sheetFormatPr defaultRowHeight="15" x14ac:dyDescent="0.25"/>
  <cols>
    <col min="1" max="1" width="34.42578125" customWidth="1"/>
    <col min="2" max="3" width="28.7109375" customWidth="1"/>
    <col min="4" max="4" width="29.140625" customWidth="1"/>
    <col min="5" max="5" width="28.7109375" customWidth="1"/>
    <col min="6" max="6" width="30.7109375" customWidth="1"/>
    <col min="7" max="7" width="28.7109375" customWidth="1"/>
    <col min="8" max="8" width="23.85546875" customWidth="1"/>
  </cols>
  <sheetData>
    <row r="1" spans="1:7" s="23" customFormat="1" ht="45.75" customHeight="1" x14ac:dyDescent="0.35">
      <c r="A1" s="169" t="s">
        <v>45</v>
      </c>
      <c r="B1" s="170"/>
      <c r="C1" s="170"/>
      <c r="D1" s="170"/>
      <c r="E1" s="170"/>
      <c r="F1" s="170"/>
      <c r="G1" s="171"/>
    </row>
    <row r="2" spans="1:7" s="14" customFormat="1" ht="27.75" customHeight="1" x14ac:dyDescent="0.25">
      <c r="A2" s="100" t="s">
        <v>43</v>
      </c>
      <c r="B2" s="101" t="s">
        <v>44</v>
      </c>
      <c r="C2" s="102" t="s">
        <v>46</v>
      </c>
      <c r="D2" s="102" t="s">
        <v>47</v>
      </c>
      <c r="E2" s="103" t="s">
        <v>48</v>
      </c>
      <c r="F2" s="103" t="s">
        <v>50</v>
      </c>
      <c r="G2" s="104" t="s">
        <v>49</v>
      </c>
    </row>
    <row r="3" spans="1:7" ht="15.75" customHeight="1" x14ac:dyDescent="0.25">
      <c r="A3" s="98" t="s">
        <v>53</v>
      </c>
      <c r="B3" s="27">
        <v>983.2</v>
      </c>
      <c r="C3" s="29">
        <v>1942.9</v>
      </c>
      <c r="D3" s="27">
        <v>1362.6</v>
      </c>
      <c r="E3" s="27">
        <v>4937.5</v>
      </c>
      <c r="F3" s="27">
        <v>880</v>
      </c>
      <c r="G3" s="30">
        <v>385.6</v>
      </c>
    </row>
    <row r="4" spans="1:7" ht="15.75" x14ac:dyDescent="0.25">
      <c r="A4" s="98" t="s">
        <v>54</v>
      </c>
      <c r="B4" s="27">
        <v>59</v>
      </c>
      <c r="C4" s="29">
        <v>41.4</v>
      </c>
      <c r="D4" s="27">
        <v>69.98</v>
      </c>
      <c r="E4" s="27">
        <v>45.67</v>
      </c>
      <c r="F4" s="27">
        <v>43.37</v>
      </c>
      <c r="G4" s="30">
        <v>34.479999999999997</v>
      </c>
    </row>
    <row r="5" spans="1:7" ht="15.75" x14ac:dyDescent="0.25">
      <c r="A5" s="98" t="s">
        <v>55</v>
      </c>
      <c r="B5" s="27">
        <v>97306.83</v>
      </c>
      <c r="C5" s="27">
        <v>456502.09</v>
      </c>
      <c r="D5" s="27">
        <v>262752.11</v>
      </c>
      <c r="E5" s="27">
        <v>118928.72</v>
      </c>
      <c r="F5" s="27">
        <v>90050.84</v>
      </c>
      <c r="G5" s="30">
        <v>68403.78</v>
      </c>
    </row>
    <row r="6" spans="1:7" ht="15.75" x14ac:dyDescent="0.25">
      <c r="A6" s="98" t="s">
        <v>56</v>
      </c>
      <c r="B6" s="27">
        <v>1.02</v>
      </c>
      <c r="C6" s="29">
        <v>2.1</v>
      </c>
      <c r="D6" s="27">
        <v>0.88</v>
      </c>
      <c r="E6" s="27">
        <v>1.83</v>
      </c>
      <c r="F6" s="27">
        <v>2.27</v>
      </c>
      <c r="G6" s="30">
        <v>2.14</v>
      </c>
    </row>
    <row r="7" spans="1:7" ht="16.5" thickBot="1" x14ac:dyDescent="0.3">
      <c r="A7" s="99" t="s">
        <v>57</v>
      </c>
      <c r="B7" s="28">
        <v>427.19</v>
      </c>
      <c r="C7" s="28">
        <v>2680</v>
      </c>
      <c r="D7" s="28">
        <v>975.12</v>
      </c>
      <c r="E7" s="28">
        <v>593.38</v>
      </c>
      <c r="F7" s="28">
        <v>504.52</v>
      </c>
      <c r="G7" s="31">
        <v>586.16</v>
      </c>
    </row>
    <row r="8" spans="1:7" ht="15.75" x14ac:dyDescent="0.25">
      <c r="A8" s="25"/>
      <c r="B8" s="16"/>
      <c r="C8" s="26"/>
      <c r="D8" s="16"/>
      <c r="E8" s="16"/>
      <c r="F8" s="16"/>
      <c r="G8" s="16"/>
    </row>
    <row r="9" spans="1:7" x14ac:dyDescent="0.25">
      <c r="A9" s="24"/>
      <c r="B9" s="16"/>
      <c r="C9" s="16"/>
      <c r="D9" s="16"/>
      <c r="E9" s="16"/>
      <c r="F9" s="16"/>
      <c r="G9" s="16"/>
    </row>
    <row r="10" spans="1:7" x14ac:dyDescent="0.25">
      <c r="A10" s="24"/>
      <c r="B10" s="16"/>
      <c r="C10" s="16"/>
      <c r="D10" s="16"/>
      <c r="E10" s="16"/>
      <c r="F10" s="16"/>
      <c r="G10" s="16"/>
    </row>
    <row r="11" spans="1:7" ht="15" customHeight="1" thickBot="1" x14ac:dyDescent="0.3">
      <c r="A11" s="16"/>
      <c r="B11" s="16"/>
      <c r="C11" s="16"/>
      <c r="D11" s="16"/>
      <c r="E11" s="16"/>
      <c r="F11" s="16"/>
      <c r="G11" s="16"/>
    </row>
    <row r="12" spans="1:7" x14ac:dyDescent="0.25">
      <c r="A12" s="172" t="s">
        <v>58</v>
      </c>
      <c r="B12" s="173"/>
      <c r="C12" s="173"/>
      <c r="D12" s="173"/>
      <c r="E12" s="173"/>
      <c r="F12" s="173"/>
      <c r="G12" s="174"/>
    </row>
    <row r="13" spans="1:7" ht="33.75" customHeight="1" thickBot="1" x14ac:dyDescent="0.3">
      <c r="A13" s="175"/>
      <c r="B13" s="176"/>
      <c r="C13" s="176"/>
      <c r="D13" s="176"/>
      <c r="E13" s="176"/>
      <c r="F13" s="176"/>
      <c r="G13" s="177"/>
    </row>
  </sheetData>
  <mergeCells count="2">
    <mergeCell ref="A1:G1"/>
    <mergeCell ref="A12:G1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3"/>
  <sheetViews>
    <sheetView workbookViewId="0">
      <selection activeCell="L10" sqref="L10"/>
    </sheetView>
  </sheetViews>
  <sheetFormatPr defaultRowHeight="15" x14ac:dyDescent="0.25"/>
  <cols>
    <col min="1" max="1" width="11.85546875" customWidth="1"/>
    <col min="2" max="2" width="24.7109375" customWidth="1"/>
  </cols>
  <sheetData>
    <row r="1" spans="2:12" ht="18" customHeight="1" thickBot="1" x14ac:dyDescent="0.35">
      <c r="B1" s="187" t="s">
        <v>44</v>
      </c>
      <c r="C1" s="188"/>
      <c r="D1" s="188"/>
      <c r="E1" s="188"/>
      <c r="F1" s="188"/>
      <c r="G1" s="188"/>
      <c r="H1" s="188"/>
      <c r="I1" s="188"/>
      <c r="J1" s="189"/>
    </row>
    <row r="2" spans="2:12" x14ac:dyDescent="0.25">
      <c r="B2" s="193"/>
      <c r="C2" s="194"/>
      <c r="D2" s="194"/>
      <c r="E2" s="194"/>
      <c r="F2" s="194"/>
      <c r="G2" s="194"/>
      <c r="H2" s="194"/>
      <c r="I2" s="194"/>
      <c r="J2" s="195"/>
    </row>
    <row r="3" spans="2:12" x14ac:dyDescent="0.25">
      <c r="B3" s="184" t="s">
        <v>59</v>
      </c>
      <c r="C3" s="185"/>
      <c r="D3" s="185"/>
      <c r="E3" s="185"/>
      <c r="F3" s="185"/>
      <c r="G3" s="185"/>
      <c r="H3" s="185"/>
      <c r="I3" s="185"/>
      <c r="J3" s="186"/>
    </row>
    <row r="4" spans="2:12" ht="30.75" customHeight="1" x14ac:dyDescent="0.25">
      <c r="B4" s="178" t="s">
        <v>62</v>
      </c>
      <c r="C4" s="179"/>
      <c r="D4" s="179"/>
      <c r="E4" s="179"/>
      <c r="F4" s="179"/>
      <c r="G4" s="179"/>
      <c r="H4" s="179"/>
      <c r="I4" s="179"/>
      <c r="J4" s="180"/>
    </row>
    <row r="5" spans="2:12" ht="27.75" customHeight="1" x14ac:dyDescent="0.25">
      <c r="B5" s="178" t="s">
        <v>63</v>
      </c>
      <c r="C5" s="179"/>
      <c r="D5" s="179"/>
      <c r="E5" s="179"/>
      <c r="F5" s="179"/>
      <c r="G5" s="179"/>
      <c r="H5" s="179"/>
      <c r="I5" s="179"/>
      <c r="J5" s="180"/>
    </row>
    <row r="6" spans="2:12" ht="15.75" customHeight="1" x14ac:dyDescent="0.25">
      <c r="B6" s="178" t="s">
        <v>64</v>
      </c>
      <c r="C6" s="179"/>
      <c r="D6" s="179"/>
      <c r="E6" s="179"/>
      <c r="F6" s="179"/>
      <c r="G6" s="179"/>
      <c r="H6" s="179"/>
      <c r="I6" s="179"/>
      <c r="J6" s="180"/>
    </row>
    <row r="7" spans="2:12" ht="15" customHeight="1" thickBot="1" x14ac:dyDescent="0.3">
      <c r="B7" s="181" t="s">
        <v>65</v>
      </c>
      <c r="C7" s="182"/>
      <c r="D7" s="182"/>
      <c r="E7" s="182"/>
      <c r="F7" s="182"/>
      <c r="G7" s="182"/>
      <c r="H7" s="182"/>
      <c r="I7" s="182"/>
      <c r="J7" s="183"/>
    </row>
    <row r="8" spans="2:12" x14ac:dyDescent="0.25">
      <c r="B8" s="190"/>
      <c r="C8" s="191"/>
      <c r="D8" s="191"/>
      <c r="E8" s="191"/>
      <c r="F8" s="191"/>
      <c r="G8" s="191"/>
      <c r="H8" s="191"/>
      <c r="I8" s="191"/>
      <c r="J8" s="192"/>
    </row>
    <row r="9" spans="2:12" x14ac:dyDescent="0.25">
      <c r="B9" s="184" t="s">
        <v>60</v>
      </c>
      <c r="C9" s="185"/>
      <c r="D9" s="185"/>
      <c r="E9" s="185"/>
      <c r="F9" s="185"/>
      <c r="G9" s="185"/>
      <c r="H9" s="185"/>
      <c r="I9" s="185"/>
      <c r="J9" s="186"/>
      <c r="L9" t="s">
        <v>73</v>
      </c>
    </row>
    <row r="10" spans="2:12" x14ac:dyDescent="0.25">
      <c r="B10" s="178" t="s">
        <v>66</v>
      </c>
      <c r="C10" s="179"/>
      <c r="D10" s="179"/>
      <c r="E10" s="179"/>
      <c r="F10" s="179"/>
      <c r="G10" s="179"/>
      <c r="H10" s="179"/>
      <c r="I10" s="179"/>
      <c r="J10" s="180"/>
    </row>
    <row r="11" spans="2:12" x14ac:dyDescent="0.25">
      <c r="B11" s="178" t="s">
        <v>67</v>
      </c>
      <c r="C11" s="179"/>
      <c r="D11" s="179"/>
      <c r="E11" s="179"/>
      <c r="F11" s="179"/>
      <c r="G11" s="179"/>
      <c r="H11" s="179"/>
      <c r="I11" s="179"/>
      <c r="J11" s="180"/>
    </row>
    <row r="12" spans="2:12" ht="15.75" thickBot="1" x14ac:dyDescent="0.3">
      <c r="B12" s="181" t="s">
        <v>68</v>
      </c>
      <c r="C12" s="182"/>
      <c r="D12" s="182"/>
      <c r="E12" s="182"/>
      <c r="F12" s="182"/>
      <c r="G12" s="182"/>
      <c r="H12" s="182"/>
      <c r="I12" s="182"/>
      <c r="J12" s="183"/>
    </row>
    <row r="13" spans="2:12" x14ac:dyDescent="0.25">
      <c r="B13" s="190"/>
      <c r="C13" s="191"/>
      <c r="D13" s="191"/>
      <c r="E13" s="191"/>
      <c r="F13" s="191"/>
      <c r="G13" s="191"/>
      <c r="H13" s="191"/>
      <c r="I13" s="191"/>
      <c r="J13" s="192"/>
    </row>
    <row r="14" spans="2:12" x14ac:dyDescent="0.25">
      <c r="B14" s="184" t="s">
        <v>61</v>
      </c>
      <c r="C14" s="185"/>
      <c r="D14" s="185"/>
      <c r="E14" s="185"/>
      <c r="F14" s="185"/>
      <c r="G14" s="185"/>
      <c r="H14" s="185"/>
      <c r="I14" s="185"/>
      <c r="J14" s="186"/>
    </row>
    <row r="15" spans="2:12" x14ac:dyDescent="0.25">
      <c r="B15" s="178" t="s">
        <v>69</v>
      </c>
      <c r="C15" s="179"/>
      <c r="D15" s="179"/>
      <c r="E15" s="179"/>
      <c r="F15" s="179"/>
      <c r="G15" s="179"/>
      <c r="H15" s="179"/>
      <c r="I15" s="179"/>
      <c r="J15" s="180"/>
    </row>
    <row r="16" spans="2:12" x14ac:dyDescent="0.25">
      <c r="B16" s="178" t="s">
        <v>70</v>
      </c>
      <c r="C16" s="179"/>
      <c r="D16" s="179"/>
      <c r="E16" s="179"/>
      <c r="F16" s="179"/>
      <c r="G16" s="179"/>
      <c r="H16" s="179"/>
      <c r="I16" s="179"/>
      <c r="J16" s="180"/>
    </row>
    <row r="17" spans="2:10" ht="15.75" thickBot="1" x14ac:dyDescent="0.3">
      <c r="B17" s="196" t="s">
        <v>71</v>
      </c>
      <c r="C17" s="197"/>
      <c r="D17" s="197"/>
      <c r="E17" s="197"/>
      <c r="F17" s="197"/>
      <c r="G17" s="197"/>
      <c r="H17" s="197"/>
      <c r="I17" s="197"/>
      <c r="J17" s="198"/>
    </row>
    <row r="18" spans="2:10" x14ac:dyDescent="0.25">
      <c r="B18" s="199"/>
      <c r="C18" s="200"/>
      <c r="D18" s="200"/>
      <c r="E18" s="200"/>
      <c r="F18" s="200"/>
      <c r="G18" s="200"/>
      <c r="H18" s="200"/>
      <c r="I18" s="200"/>
      <c r="J18" s="201"/>
    </row>
    <row r="19" spans="2:10" s="5" customFormat="1" ht="15" customHeight="1" x14ac:dyDescent="0.25">
      <c r="B19" s="184" t="s">
        <v>148</v>
      </c>
      <c r="C19" s="185"/>
      <c r="D19" s="185"/>
      <c r="E19" s="185"/>
      <c r="F19" s="185"/>
      <c r="G19" s="185"/>
      <c r="H19" s="185"/>
      <c r="I19" s="185"/>
      <c r="J19" s="186"/>
    </row>
    <row r="20" spans="2:10" s="5" customFormat="1" ht="40.5" customHeight="1" thickBot="1" x14ac:dyDescent="0.3">
      <c r="B20" s="181" t="s">
        <v>72</v>
      </c>
      <c r="C20" s="182"/>
      <c r="D20" s="182"/>
      <c r="E20" s="182"/>
      <c r="F20" s="182"/>
      <c r="G20" s="182"/>
      <c r="H20" s="182"/>
      <c r="I20" s="182"/>
      <c r="J20" s="183"/>
    </row>
    <row r="23" spans="2:10" x14ac:dyDescent="0.25">
      <c r="I23" s="3"/>
    </row>
  </sheetData>
  <mergeCells count="20">
    <mergeCell ref="B14:J14"/>
    <mergeCell ref="B15:J15"/>
    <mergeCell ref="B4:J4"/>
    <mergeCell ref="B5:J5"/>
    <mergeCell ref="B13:J13"/>
    <mergeCell ref="B9:J9"/>
    <mergeCell ref="B10:J10"/>
    <mergeCell ref="B11:J11"/>
    <mergeCell ref="B12:J12"/>
    <mergeCell ref="B16:J16"/>
    <mergeCell ref="B19:J19"/>
    <mergeCell ref="B20:J20"/>
    <mergeCell ref="B17:J17"/>
    <mergeCell ref="B18:J18"/>
    <mergeCell ref="B6:J6"/>
    <mergeCell ref="B7:J7"/>
    <mergeCell ref="B3:J3"/>
    <mergeCell ref="B1:J1"/>
    <mergeCell ref="B8:J8"/>
    <mergeCell ref="B2:J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selection activeCell="H21" sqref="H21"/>
    </sheetView>
  </sheetViews>
  <sheetFormatPr defaultRowHeight="15" x14ac:dyDescent="0.25"/>
  <cols>
    <col min="1" max="1" width="48.42578125" customWidth="1"/>
    <col min="2" max="2" width="14.28515625" customWidth="1"/>
    <col min="3" max="3" width="14.7109375" customWidth="1"/>
    <col min="4" max="4" width="13.28515625" customWidth="1"/>
    <col min="5" max="5" width="13.5703125" customWidth="1"/>
    <col min="6" max="6" width="14.28515625" customWidth="1"/>
    <col min="8" max="8" width="60.28515625" customWidth="1"/>
  </cols>
  <sheetData>
    <row r="1" spans="1:8" x14ac:dyDescent="0.25">
      <c r="A1" s="202" t="s">
        <v>74</v>
      </c>
      <c r="B1" s="203"/>
      <c r="C1" s="203"/>
      <c r="D1" s="203"/>
      <c r="E1" s="203"/>
      <c r="F1" s="204"/>
      <c r="H1" s="32" t="s">
        <v>85</v>
      </c>
    </row>
    <row r="2" spans="1:8" x14ac:dyDescent="0.25">
      <c r="A2" s="205"/>
      <c r="B2" s="206"/>
      <c r="C2" s="206"/>
      <c r="D2" s="206"/>
      <c r="E2" s="206"/>
      <c r="F2" s="207"/>
      <c r="H2" s="32" t="s">
        <v>86</v>
      </c>
    </row>
    <row r="3" spans="1:8" x14ac:dyDescent="0.25">
      <c r="A3" s="217"/>
      <c r="B3" s="218"/>
      <c r="C3" s="218"/>
      <c r="D3" s="218"/>
      <c r="E3" s="218"/>
      <c r="F3" s="219"/>
      <c r="H3" s="32" t="s">
        <v>87</v>
      </c>
    </row>
    <row r="4" spans="1:8" ht="15.75" x14ac:dyDescent="0.25">
      <c r="A4" s="105" t="s">
        <v>75</v>
      </c>
      <c r="B4" s="35" t="s">
        <v>0</v>
      </c>
      <c r="C4" s="36" t="s">
        <v>1</v>
      </c>
      <c r="D4" s="36" t="s">
        <v>2</v>
      </c>
      <c r="E4" s="36" t="s">
        <v>3</v>
      </c>
      <c r="F4" s="106" t="s">
        <v>4</v>
      </c>
      <c r="H4" s="32" t="s">
        <v>88</v>
      </c>
    </row>
    <row r="5" spans="1:8" ht="15.75" x14ac:dyDescent="0.25">
      <c r="A5" s="105" t="s">
        <v>76</v>
      </c>
      <c r="B5" s="37">
        <v>12425</v>
      </c>
      <c r="C5" s="37">
        <v>13783</v>
      </c>
      <c r="D5" s="37">
        <v>15206</v>
      </c>
      <c r="E5" s="37">
        <v>17618</v>
      </c>
      <c r="F5" s="107">
        <v>20290</v>
      </c>
    </row>
    <row r="6" spans="1:8" ht="15.75" x14ac:dyDescent="0.25">
      <c r="A6" s="105" t="s">
        <v>77</v>
      </c>
      <c r="B6" s="37">
        <v>10707</v>
      </c>
      <c r="C6" s="38">
        <v>11927</v>
      </c>
      <c r="D6" s="37">
        <v>12922</v>
      </c>
      <c r="E6" s="37">
        <v>15139</v>
      </c>
      <c r="F6" s="107">
        <v>17499</v>
      </c>
    </row>
    <row r="7" spans="1:8" ht="15.75" x14ac:dyDescent="0.25">
      <c r="A7" s="105" t="s">
        <v>78</v>
      </c>
      <c r="B7" s="39">
        <f>'Raw Data'!B20</f>
        <v>2267</v>
      </c>
      <c r="C7" s="38">
        <v>2702</v>
      </c>
      <c r="D7" s="38">
        <v>2769</v>
      </c>
      <c r="E7" s="38">
        <v>3600</v>
      </c>
      <c r="F7" s="108">
        <v>3527</v>
      </c>
    </row>
    <row r="8" spans="1:8" ht="15.75" x14ac:dyDescent="0.25">
      <c r="A8" s="105" t="s">
        <v>79</v>
      </c>
      <c r="B8" s="40">
        <v>835</v>
      </c>
      <c r="C8" s="40">
        <v>798</v>
      </c>
      <c r="D8" s="40">
        <v>897</v>
      </c>
      <c r="E8" s="40">
        <v>870</v>
      </c>
      <c r="F8" s="108">
        <v>1148</v>
      </c>
    </row>
    <row r="9" spans="1:8" ht="15.75" x14ac:dyDescent="0.25">
      <c r="A9" s="105" t="s">
        <v>80</v>
      </c>
      <c r="B9" s="38">
        <v>1916</v>
      </c>
      <c r="C9" s="38">
        <v>2348</v>
      </c>
      <c r="D9" s="38">
        <v>2707</v>
      </c>
      <c r="E9" s="38">
        <v>3508</v>
      </c>
      <c r="F9" s="108">
        <v>3875</v>
      </c>
    </row>
    <row r="10" spans="1:8" ht="15.75" x14ac:dyDescent="0.25">
      <c r="A10" s="105"/>
      <c r="B10" s="41"/>
      <c r="C10" s="41"/>
      <c r="D10" s="41"/>
      <c r="E10" s="41"/>
      <c r="F10" s="109"/>
    </row>
    <row r="11" spans="1:8" ht="15.75" x14ac:dyDescent="0.25">
      <c r="A11" s="105" t="s">
        <v>81</v>
      </c>
      <c r="B11" s="110">
        <f>(B8/B5)*365</f>
        <v>24.529175050301813</v>
      </c>
      <c r="C11" s="110">
        <f t="shared" ref="C11:F11" si="0">(C8/C5)*365</f>
        <v>21.132554596241746</v>
      </c>
      <c r="D11" s="110">
        <f t="shared" si="0"/>
        <v>21.531303432855452</v>
      </c>
      <c r="E11" s="110">
        <f t="shared" si="0"/>
        <v>18.024179816097174</v>
      </c>
      <c r="F11" s="111">
        <f t="shared" si="0"/>
        <v>20.651552488910795</v>
      </c>
    </row>
    <row r="12" spans="1:8" ht="15.75" x14ac:dyDescent="0.25">
      <c r="A12" s="105" t="s">
        <v>82</v>
      </c>
      <c r="B12" s="110">
        <f>(B7/B6)*365</f>
        <v>77.281684879051085</v>
      </c>
      <c r="C12" s="110">
        <f t="shared" ref="C12:F12" si="1">(C7/C6)*365</f>
        <v>82.688857214722901</v>
      </c>
      <c r="D12" s="110">
        <f t="shared" si="1"/>
        <v>78.214285714285708</v>
      </c>
      <c r="E12" s="110">
        <f t="shared" si="1"/>
        <v>86.795693242618412</v>
      </c>
      <c r="F12" s="111">
        <f t="shared" si="1"/>
        <v>73.567346705526035</v>
      </c>
    </row>
    <row r="13" spans="1:8" ht="16.5" thickBot="1" x14ac:dyDescent="0.3">
      <c r="A13" s="112" t="s">
        <v>83</v>
      </c>
      <c r="B13" s="113">
        <f>(B9/B6)*365</f>
        <v>65.316148314186975</v>
      </c>
      <c r="C13" s="113">
        <f t="shared" ref="C13:F13" si="2">(C9/C6)*365</f>
        <v>71.855454011905763</v>
      </c>
      <c r="D13" s="113">
        <f t="shared" si="2"/>
        <v>76.463008822163758</v>
      </c>
      <c r="E13" s="113">
        <f t="shared" si="2"/>
        <v>84.577581081973705</v>
      </c>
      <c r="F13" s="114">
        <f t="shared" si="2"/>
        <v>80.826047202697296</v>
      </c>
    </row>
    <row r="14" spans="1:8" ht="21" customHeight="1" thickBot="1" x14ac:dyDescent="0.3">
      <c r="A14" s="115" t="s">
        <v>84</v>
      </c>
      <c r="B14" s="116">
        <f>B11+B12-B13</f>
        <v>36.494711615165926</v>
      </c>
      <c r="C14" s="116">
        <f>C11+C12-C13</f>
        <v>31.965957799058884</v>
      </c>
      <c r="D14" s="116">
        <f>D11+D12-D13</f>
        <v>23.282580324977403</v>
      </c>
      <c r="E14" s="116">
        <f>E11+E12-E13</f>
        <v>20.242291976741882</v>
      </c>
      <c r="F14" s="117">
        <f>F11+F12-F13</f>
        <v>13.392851991739533</v>
      </c>
    </row>
    <row r="15" spans="1:8" ht="15.75" thickBot="1" x14ac:dyDescent="0.3">
      <c r="A15" s="13"/>
    </row>
    <row r="16" spans="1:8" x14ac:dyDescent="0.25">
      <c r="A16" s="208" t="s">
        <v>89</v>
      </c>
      <c r="B16" s="209"/>
      <c r="C16" s="209"/>
      <c r="D16" s="209"/>
      <c r="E16" s="209"/>
      <c r="F16" s="210"/>
    </row>
    <row r="17" spans="1:6" x14ac:dyDescent="0.25">
      <c r="A17" s="211"/>
      <c r="B17" s="212"/>
      <c r="C17" s="212"/>
      <c r="D17" s="212"/>
      <c r="E17" s="212"/>
      <c r="F17" s="213"/>
    </row>
    <row r="18" spans="1:6" x14ac:dyDescent="0.25">
      <c r="A18" s="211"/>
      <c r="B18" s="212"/>
      <c r="C18" s="212"/>
      <c r="D18" s="212"/>
      <c r="E18" s="212"/>
      <c r="F18" s="213"/>
    </row>
    <row r="19" spans="1:6" ht="15.75" thickBot="1" x14ac:dyDescent="0.3">
      <c r="A19" s="214"/>
      <c r="B19" s="215"/>
      <c r="C19" s="215"/>
      <c r="D19" s="215"/>
      <c r="E19" s="215"/>
      <c r="F19" s="216"/>
    </row>
    <row r="20" spans="1:6" x14ac:dyDescent="0.25">
      <c r="A20" s="42"/>
      <c r="B20" s="42"/>
      <c r="C20" s="42"/>
      <c r="D20" s="42"/>
      <c r="E20" s="42"/>
      <c r="F20" s="42"/>
    </row>
  </sheetData>
  <mergeCells count="3">
    <mergeCell ref="A1:F2"/>
    <mergeCell ref="A16:F19"/>
    <mergeCell ref="A3:F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9"/>
  <sheetViews>
    <sheetView tabSelected="1" workbookViewId="0">
      <selection activeCell="N7" sqref="N7"/>
    </sheetView>
  </sheetViews>
  <sheetFormatPr defaultRowHeight="15" x14ac:dyDescent="0.25"/>
  <cols>
    <col min="1" max="1" width="48.140625" customWidth="1"/>
  </cols>
  <sheetData>
    <row r="1" spans="1:9" ht="21.75" thickBot="1" x14ac:dyDescent="0.4">
      <c r="A1" s="227" t="s">
        <v>136</v>
      </c>
      <c r="B1" s="228"/>
      <c r="C1" s="228"/>
      <c r="D1" s="228"/>
      <c r="E1" s="228"/>
      <c r="F1" s="228"/>
      <c r="G1" s="228"/>
      <c r="H1" s="228"/>
      <c r="I1" s="229"/>
    </row>
    <row r="2" spans="1:9" ht="15.75" thickBot="1" x14ac:dyDescent="0.3"/>
    <row r="3" spans="1:9" x14ac:dyDescent="0.25">
      <c r="A3" s="223" t="s">
        <v>126</v>
      </c>
      <c r="B3" s="224"/>
    </row>
    <row r="4" spans="1:9" x14ac:dyDescent="0.25">
      <c r="A4" s="225"/>
      <c r="B4" s="226"/>
    </row>
    <row r="5" spans="1:9" x14ac:dyDescent="0.25">
      <c r="A5" s="44" t="s">
        <v>90</v>
      </c>
      <c r="B5" s="45">
        <v>983.2</v>
      </c>
    </row>
    <row r="6" spans="1:9" x14ac:dyDescent="0.25">
      <c r="A6" s="44" t="s">
        <v>91</v>
      </c>
      <c r="B6" s="45">
        <v>98.97</v>
      </c>
    </row>
    <row r="7" spans="1:9" x14ac:dyDescent="0.25">
      <c r="A7" s="44" t="s">
        <v>92</v>
      </c>
      <c r="B7" s="118">
        <v>7.0000000000000007E-2</v>
      </c>
    </row>
    <row r="8" spans="1:9" x14ac:dyDescent="0.25">
      <c r="A8" s="44" t="s">
        <v>93</v>
      </c>
      <c r="B8" s="118">
        <v>6.5000000000000002E-2</v>
      </c>
    </row>
    <row r="9" spans="1:9" x14ac:dyDescent="0.25">
      <c r="A9" s="44" t="s">
        <v>94</v>
      </c>
      <c r="B9" s="45">
        <v>0.85</v>
      </c>
    </row>
    <row r="10" spans="1:9" x14ac:dyDescent="0.25">
      <c r="A10" s="44" t="s">
        <v>95</v>
      </c>
      <c r="B10" s="118">
        <v>0.06</v>
      </c>
    </row>
    <row r="11" spans="1:9" x14ac:dyDescent="0.25">
      <c r="A11" s="44" t="s">
        <v>96</v>
      </c>
      <c r="B11" s="119">
        <f>'Peer Comparison'!B5/('Peer Comparison'!B5+'Raw Data'!F15)</f>
        <v>0.97599795305568726</v>
      </c>
    </row>
    <row r="12" spans="1:9" x14ac:dyDescent="0.25">
      <c r="A12" s="44" t="s">
        <v>97</v>
      </c>
      <c r="B12" s="119">
        <f>1-B11</f>
        <v>2.4002046944312738E-2</v>
      </c>
    </row>
    <row r="13" spans="1:9" x14ac:dyDescent="0.25">
      <c r="A13" s="44" t="s">
        <v>98</v>
      </c>
      <c r="B13" s="119">
        <f>(B7+B9*B8)*B11+(B10*B12)</f>
        <v>0.1236838664368836</v>
      </c>
    </row>
    <row r="14" spans="1:9" ht="15.75" thickBot="1" x14ac:dyDescent="0.3">
      <c r="A14" s="48" t="s">
        <v>99</v>
      </c>
      <c r="B14" s="52">
        <v>0.05</v>
      </c>
    </row>
    <row r="15" spans="1:9" ht="15.75" thickBot="1" x14ac:dyDescent="0.3"/>
    <row r="16" spans="1:9" ht="15.75" x14ac:dyDescent="0.25">
      <c r="A16" s="220" t="s">
        <v>125</v>
      </c>
      <c r="B16" s="222"/>
      <c r="C16" s="222"/>
      <c r="D16" s="222"/>
      <c r="E16" s="222"/>
      <c r="F16" s="222"/>
      <c r="G16" s="222"/>
      <c r="H16" s="222"/>
      <c r="I16" s="221"/>
    </row>
    <row r="17" spans="1:9" x14ac:dyDescent="0.25">
      <c r="A17" s="44" t="s">
        <v>100</v>
      </c>
      <c r="B17" s="230"/>
      <c r="C17" s="218"/>
      <c r="D17" s="218"/>
      <c r="E17" s="218"/>
      <c r="F17" s="218"/>
      <c r="G17" s="218"/>
      <c r="H17" s="218"/>
      <c r="I17" s="219"/>
    </row>
    <row r="18" spans="1:9" x14ac:dyDescent="0.25">
      <c r="A18" s="44" t="s">
        <v>135</v>
      </c>
      <c r="B18" s="33" t="s">
        <v>127</v>
      </c>
      <c r="C18" s="33" t="s">
        <v>128</v>
      </c>
      <c r="D18" s="33" t="s">
        <v>129</v>
      </c>
      <c r="E18" s="33" t="s">
        <v>130</v>
      </c>
      <c r="F18" s="33" t="s">
        <v>131</v>
      </c>
      <c r="G18" s="33" t="s">
        <v>132</v>
      </c>
      <c r="H18" s="33" t="s">
        <v>133</v>
      </c>
      <c r="I18" s="45" t="s">
        <v>134</v>
      </c>
    </row>
    <row r="19" spans="1:9" x14ac:dyDescent="0.25">
      <c r="A19" s="44" t="s">
        <v>101</v>
      </c>
      <c r="B19" s="34">
        <f>'Raw Data'!D6</f>
        <v>15206</v>
      </c>
      <c r="C19" s="34">
        <f>'Raw Data'!E6</f>
        <v>17618</v>
      </c>
      <c r="D19" s="34">
        <f>'Raw Data'!F6</f>
        <v>20290</v>
      </c>
      <c r="E19" s="33">
        <f>D19*(1+E20)</f>
        <v>22724.800000000003</v>
      </c>
      <c r="F19" s="33">
        <f t="shared" ref="F19:I19" si="0">E19*(1+F20)</f>
        <v>25224.528000000006</v>
      </c>
      <c r="G19" s="33">
        <f t="shared" si="0"/>
        <v>27746.980800000008</v>
      </c>
      <c r="H19" s="33">
        <f t="shared" si="0"/>
        <v>30244.209072000012</v>
      </c>
      <c r="I19" s="45">
        <f t="shared" si="0"/>
        <v>32663.745797760017</v>
      </c>
    </row>
    <row r="20" spans="1:9" x14ac:dyDescent="0.25">
      <c r="A20" s="44" t="s">
        <v>102</v>
      </c>
      <c r="B20" s="33"/>
      <c r="C20" s="43">
        <f>(C19-B19)/B19</f>
        <v>0.15862159673812967</v>
      </c>
      <c r="D20" s="43">
        <f>(D19-C19)/C19</f>
        <v>0.1516630718583267</v>
      </c>
      <c r="E20" s="46">
        <v>0.12</v>
      </c>
      <c r="F20" s="46">
        <v>0.11</v>
      </c>
      <c r="G20" s="46">
        <v>0.1</v>
      </c>
      <c r="H20" s="46">
        <v>0.09</v>
      </c>
      <c r="I20" s="47">
        <v>0.08</v>
      </c>
    </row>
    <row r="21" spans="1:9" x14ac:dyDescent="0.25">
      <c r="A21" s="44" t="s">
        <v>103</v>
      </c>
      <c r="B21" s="34">
        <f>'Raw Data'!D10-'Raw Data'!D9</f>
        <v>1907</v>
      </c>
      <c r="C21" s="34">
        <f>'Raw Data'!E10-'Raw Data'!E9</f>
        <v>2102</v>
      </c>
      <c r="D21" s="34">
        <f>'Raw Data'!F10-'Raw Data'!F9</f>
        <v>2165</v>
      </c>
      <c r="E21" s="33">
        <f>E19*0.11</f>
        <v>2499.7280000000005</v>
      </c>
      <c r="F21" s="33">
        <f t="shared" ref="F21:I21" si="1">F19*0.11</f>
        <v>2774.6980800000006</v>
      </c>
      <c r="G21" s="33">
        <f t="shared" si="1"/>
        <v>3052.1678880000009</v>
      </c>
      <c r="H21" s="33">
        <f t="shared" si="1"/>
        <v>3326.8629979200014</v>
      </c>
      <c r="I21" s="45">
        <f t="shared" si="1"/>
        <v>3593.0120377536018</v>
      </c>
    </row>
    <row r="22" spans="1:9" x14ac:dyDescent="0.25">
      <c r="A22" s="44" t="s">
        <v>104</v>
      </c>
      <c r="B22" s="46">
        <v>0.25</v>
      </c>
      <c r="C22" s="46">
        <v>0.25</v>
      </c>
      <c r="D22" s="46">
        <v>0.25</v>
      </c>
      <c r="E22" s="46">
        <v>0.25</v>
      </c>
      <c r="F22" s="46">
        <v>0.25</v>
      </c>
      <c r="G22" s="46">
        <v>0.25</v>
      </c>
      <c r="H22" s="46">
        <v>0.25</v>
      </c>
      <c r="I22" s="47">
        <v>0.25</v>
      </c>
    </row>
    <row r="23" spans="1:9" x14ac:dyDescent="0.25">
      <c r="A23" s="44" t="s">
        <v>105</v>
      </c>
      <c r="B23" s="130">
        <f>B21*(1-B22)</f>
        <v>1430.25</v>
      </c>
      <c r="C23" s="130">
        <f t="shared" ref="C23:D23" si="2">C21*(1-C22)</f>
        <v>1576.5</v>
      </c>
      <c r="D23" s="130">
        <f t="shared" si="2"/>
        <v>1623.75</v>
      </c>
      <c r="E23" s="130">
        <f>E21*(1-E22)</f>
        <v>1874.7960000000003</v>
      </c>
      <c r="F23" s="130">
        <f t="shared" ref="F23:I23" si="3">F21*(1-F22)</f>
        <v>2081.0235600000005</v>
      </c>
      <c r="G23" s="130">
        <f t="shared" si="3"/>
        <v>2289.1259160000009</v>
      </c>
      <c r="H23" s="130">
        <f t="shared" si="3"/>
        <v>2495.147248440001</v>
      </c>
      <c r="I23" s="131">
        <f t="shared" si="3"/>
        <v>2694.7590283152012</v>
      </c>
    </row>
    <row r="24" spans="1:9" x14ac:dyDescent="0.25">
      <c r="A24" s="44" t="s">
        <v>106</v>
      </c>
      <c r="B24" s="130">
        <f>'Raw Data'!D9</f>
        <v>377</v>
      </c>
      <c r="C24" s="132">
        <v>377</v>
      </c>
      <c r="D24" s="132">
        <v>627</v>
      </c>
      <c r="E24" s="130">
        <f>E19*0.03</f>
        <v>681.74400000000003</v>
      </c>
      <c r="F24" s="130">
        <f t="shared" ref="F24:I24" si="4">F19*0.03</f>
        <v>756.73584000000017</v>
      </c>
      <c r="G24" s="130">
        <f t="shared" si="4"/>
        <v>832.40942400000017</v>
      </c>
      <c r="H24" s="130">
        <f t="shared" si="4"/>
        <v>907.32627216000037</v>
      </c>
      <c r="I24" s="131">
        <f t="shared" si="4"/>
        <v>979.91237393280051</v>
      </c>
    </row>
    <row r="25" spans="1:9" x14ac:dyDescent="0.25">
      <c r="A25" s="44" t="s">
        <v>107</v>
      </c>
      <c r="B25" s="130">
        <v>500</v>
      </c>
      <c r="C25" s="130">
        <v>550</v>
      </c>
      <c r="D25" s="130">
        <v>600</v>
      </c>
      <c r="E25" s="130">
        <f>E19*0.032</f>
        <v>727.19360000000006</v>
      </c>
      <c r="F25" s="130">
        <f t="shared" ref="F25:I25" si="5">F19*0.032</f>
        <v>807.18489600000021</v>
      </c>
      <c r="G25" s="130">
        <f t="shared" si="5"/>
        <v>887.90338560000032</v>
      </c>
      <c r="H25" s="130">
        <f t="shared" si="5"/>
        <v>967.81469030400046</v>
      </c>
      <c r="I25" s="131">
        <f t="shared" si="5"/>
        <v>1045.2398655283205</v>
      </c>
    </row>
    <row r="26" spans="1:9" ht="15.75" thickBot="1" x14ac:dyDescent="0.3">
      <c r="A26" s="120" t="s">
        <v>108</v>
      </c>
      <c r="B26" s="133">
        <v>150</v>
      </c>
      <c r="C26" s="133">
        <v>180</v>
      </c>
      <c r="D26" s="133">
        <v>200</v>
      </c>
      <c r="E26" s="133">
        <f>E19*0.01</f>
        <v>227.24800000000005</v>
      </c>
      <c r="F26" s="133">
        <f t="shared" ref="F26:I26" si="6">F19*0.01</f>
        <v>252.24528000000007</v>
      </c>
      <c r="G26" s="133">
        <f t="shared" si="6"/>
        <v>277.46980800000011</v>
      </c>
      <c r="H26" s="133">
        <f t="shared" si="6"/>
        <v>302.44209072000012</v>
      </c>
      <c r="I26" s="134">
        <f t="shared" si="6"/>
        <v>326.63745797760015</v>
      </c>
    </row>
    <row r="27" spans="1:9" ht="15.75" thickBot="1" x14ac:dyDescent="0.3">
      <c r="A27" s="124" t="s">
        <v>109</v>
      </c>
      <c r="B27" s="135">
        <f>B23+B24-B25-B26</f>
        <v>1157.25</v>
      </c>
      <c r="C27" s="135">
        <f t="shared" ref="C27:D27" si="7">C23+C24-C25-C26</f>
        <v>1223.5</v>
      </c>
      <c r="D27" s="135">
        <f t="shared" si="7"/>
        <v>1450.75</v>
      </c>
      <c r="E27" s="135">
        <f>E23+E24-E25-E26</f>
        <v>1602.0984000000003</v>
      </c>
      <c r="F27" s="135">
        <f t="shared" ref="F27:I27" si="8">F23+F24-F25-F26</f>
        <v>1778.3292240000005</v>
      </c>
      <c r="G27" s="135">
        <f t="shared" si="8"/>
        <v>1956.1621464000007</v>
      </c>
      <c r="H27" s="135">
        <f t="shared" si="8"/>
        <v>2132.2167395760007</v>
      </c>
      <c r="I27" s="136">
        <f t="shared" si="8"/>
        <v>2302.7940787420812</v>
      </c>
    </row>
    <row r="28" spans="1:9" x14ac:dyDescent="0.25">
      <c r="A28" s="121" t="s">
        <v>110</v>
      </c>
      <c r="B28" s="122"/>
      <c r="C28" s="122"/>
      <c r="D28" s="122"/>
      <c r="E28" s="122">
        <v>1</v>
      </c>
      <c r="F28" s="122">
        <v>2</v>
      </c>
      <c r="G28" s="122">
        <v>3</v>
      </c>
      <c r="H28" s="122">
        <v>4</v>
      </c>
      <c r="I28" s="123">
        <v>5</v>
      </c>
    </row>
    <row r="29" spans="1:9" x14ac:dyDescent="0.25">
      <c r="A29" s="44" t="s">
        <v>111</v>
      </c>
      <c r="B29" s="33"/>
      <c r="C29" s="33"/>
      <c r="D29" s="33"/>
      <c r="E29" s="33">
        <f>1/(1+$B$13)^E28</f>
        <v>0.88993001489905188</v>
      </c>
      <c r="F29" s="33">
        <f t="shared" ref="F29:I29" si="9">1/(1+$B$13)^F28</f>
        <v>0.79197543141822668</v>
      </c>
      <c r="G29" s="33">
        <f t="shared" si="9"/>
        <v>0.70480270748170559</v>
      </c>
      <c r="H29" s="33">
        <f t="shared" si="9"/>
        <v>0.62722508397008636</v>
      </c>
      <c r="I29" s="45">
        <f t="shared" si="9"/>
        <v>0.55818642832255805</v>
      </c>
    </row>
    <row r="30" spans="1:9" ht="15.75" thickBot="1" x14ac:dyDescent="0.3">
      <c r="A30" s="48" t="s">
        <v>112</v>
      </c>
      <c r="B30" s="49"/>
      <c r="C30" s="49"/>
      <c r="D30" s="49"/>
      <c r="E30" s="49">
        <f>E27*E29</f>
        <v>1425.7554529817476</v>
      </c>
      <c r="F30" s="49">
        <f t="shared" ref="F30:I30" si="10">F27*F29</f>
        <v>1408.3930543810407</v>
      </c>
      <c r="G30" s="49">
        <f t="shared" si="10"/>
        <v>1378.708377055945</v>
      </c>
      <c r="H30" s="49">
        <f t="shared" si="10"/>
        <v>1337.3798235229808</v>
      </c>
      <c r="I30" s="50">
        <f t="shared" si="10"/>
        <v>1285.3884019753777</v>
      </c>
    </row>
    <row r="31" spans="1:9" ht="15.75" thickBot="1" x14ac:dyDescent="0.3"/>
    <row r="32" spans="1:9" ht="15.75" x14ac:dyDescent="0.25">
      <c r="A32" s="220" t="s">
        <v>113</v>
      </c>
      <c r="B32" s="221"/>
    </row>
    <row r="33" spans="1:9" x14ac:dyDescent="0.25">
      <c r="A33" s="44" t="s">
        <v>114</v>
      </c>
      <c r="B33" s="45"/>
    </row>
    <row r="34" spans="1:9" x14ac:dyDescent="0.25">
      <c r="A34" s="44" t="s">
        <v>115</v>
      </c>
      <c r="B34" s="45">
        <f>SUM(E30:I30)</f>
        <v>6835.6251099170913</v>
      </c>
    </row>
    <row r="35" spans="1:9" x14ac:dyDescent="0.25">
      <c r="A35" s="44" t="s">
        <v>116</v>
      </c>
      <c r="B35" s="45">
        <f>(I27*(1+B14))/(B13-B14)</f>
        <v>32814.968860928981</v>
      </c>
    </row>
    <row r="36" spans="1:9" x14ac:dyDescent="0.25">
      <c r="A36" s="44" t="s">
        <v>117</v>
      </c>
      <c r="B36" s="45">
        <f>B35*I29</f>
        <v>18316.870263997909</v>
      </c>
    </row>
    <row r="37" spans="1:9" x14ac:dyDescent="0.25">
      <c r="A37" s="44" t="s">
        <v>118</v>
      </c>
      <c r="B37" s="45">
        <f>B34+B36</f>
        <v>25152.495373915001</v>
      </c>
    </row>
    <row r="38" spans="1:9" x14ac:dyDescent="0.25">
      <c r="A38" s="44" t="s">
        <v>119</v>
      </c>
      <c r="B38" s="51">
        <f>'Raw Data'!F21</f>
        <v>3420</v>
      </c>
    </row>
    <row r="39" spans="1:9" x14ac:dyDescent="0.25">
      <c r="A39" s="44" t="s">
        <v>120</v>
      </c>
      <c r="B39" s="51">
        <f>'Raw Data'!F15</f>
        <v>2393</v>
      </c>
    </row>
    <row r="40" spans="1:9" ht="15.75" thickBot="1" x14ac:dyDescent="0.3">
      <c r="A40" s="120" t="s">
        <v>121</v>
      </c>
      <c r="B40" s="126">
        <f>B37+B38-B39</f>
        <v>26179.495373915001</v>
      </c>
    </row>
    <row r="41" spans="1:9" ht="15.75" thickBot="1" x14ac:dyDescent="0.3">
      <c r="A41" s="124" t="s">
        <v>122</v>
      </c>
      <c r="B41" s="125">
        <f>B40/B6</f>
        <v>264.5195046369102</v>
      </c>
    </row>
    <row r="42" spans="1:9" ht="15.75" thickBot="1" x14ac:dyDescent="0.3">
      <c r="A42" s="127" t="s">
        <v>123</v>
      </c>
      <c r="B42" s="128">
        <f>B5</f>
        <v>983.2</v>
      </c>
    </row>
    <row r="43" spans="1:9" ht="15.75" thickBot="1" x14ac:dyDescent="0.3">
      <c r="A43" s="124" t="s">
        <v>124</v>
      </c>
      <c r="B43" s="129">
        <f>(B41-B42)/B42</f>
        <v>-0.73096063401453404</v>
      </c>
    </row>
    <row r="44" spans="1:9" ht="15.75" thickBot="1" x14ac:dyDescent="0.3"/>
    <row r="45" spans="1:9" ht="15" customHeight="1" x14ac:dyDescent="0.25">
      <c r="A45" s="208" t="s">
        <v>149</v>
      </c>
      <c r="B45" s="209"/>
      <c r="C45" s="209"/>
      <c r="D45" s="209"/>
      <c r="E45" s="209"/>
      <c r="F45" s="209"/>
      <c r="G45" s="209"/>
      <c r="H45" s="209"/>
      <c r="I45" s="210"/>
    </row>
    <row r="46" spans="1:9" x14ac:dyDescent="0.25">
      <c r="A46" s="211"/>
      <c r="B46" s="212"/>
      <c r="C46" s="212"/>
      <c r="D46" s="212"/>
      <c r="E46" s="212"/>
      <c r="F46" s="212"/>
      <c r="G46" s="212"/>
      <c r="H46" s="212"/>
      <c r="I46" s="213"/>
    </row>
    <row r="47" spans="1:9" x14ac:dyDescent="0.25">
      <c r="A47" s="211"/>
      <c r="B47" s="212"/>
      <c r="C47" s="212"/>
      <c r="D47" s="212"/>
      <c r="E47" s="212"/>
      <c r="F47" s="212"/>
      <c r="G47" s="212"/>
      <c r="H47" s="212"/>
      <c r="I47" s="213"/>
    </row>
    <row r="48" spans="1:9" x14ac:dyDescent="0.25">
      <c r="A48" s="211"/>
      <c r="B48" s="212"/>
      <c r="C48" s="212"/>
      <c r="D48" s="212"/>
      <c r="E48" s="212"/>
      <c r="F48" s="212"/>
      <c r="G48" s="212"/>
      <c r="H48" s="212"/>
      <c r="I48" s="213"/>
    </row>
    <row r="49" spans="1:9" x14ac:dyDescent="0.25">
      <c r="A49" s="211"/>
      <c r="B49" s="212"/>
      <c r="C49" s="212"/>
      <c r="D49" s="212"/>
      <c r="E49" s="212"/>
      <c r="F49" s="212"/>
      <c r="G49" s="212"/>
      <c r="H49" s="212"/>
      <c r="I49" s="213"/>
    </row>
    <row r="50" spans="1:9" x14ac:dyDescent="0.25">
      <c r="A50" s="211"/>
      <c r="B50" s="212"/>
      <c r="C50" s="212"/>
      <c r="D50" s="212"/>
      <c r="E50" s="212"/>
      <c r="F50" s="212"/>
      <c r="G50" s="212"/>
      <c r="H50" s="212"/>
      <c r="I50" s="213"/>
    </row>
    <row r="51" spans="1:9" x14ac:dyDescent="0.25">
      <c r="A51" s="211"/>
      <c r="B51" s="212"/>
      <c r="C51" s="212"/>
      <c r="D51" s="212"/>
      <c r="E51" s="212"/>
      <c r="F51" s="212"/>
      <c r="G51" s="212"/>
      <c r="H51" s="212"/>
      <c r="I51" s="213"/>
    </row>
    <row r="52" spans="1:9" x14ac:dyDescent="0.25">
      <c r="A52" s="211"/>
      <c r="B52" s="212"/>
      <c r="C52" s="212"/>
      <c r="D52" s="212"/>
      <c r="E52" s="212"/>
      <c r="F52" s="212"/>
      <c r="G52" s="212"/>
      <c r="H52" s="212"/>
      <c r="I52" s="213"/>
    </row>
    <row r="53" spans="1:9" x14ac:dyDescent="0.25">
      <c r="A53" s="211"/>
      <c r="B53" s="212"/>
      <c r="C53" s="212"/>
      <c r="D53" s="212"/>
      <c r="E53" s="212"/>
      <c r="F53" s="212"/>
      <c r="G53" s="212"/>
      <c r="H53" s="212"/>
      <c r="I53" s="213"/>
    </row>
    <row r="54" spans="1:9" x14ac:dyDescent="0.25">
      <c r="A54" s="211"/>
      <c r="B54" s="212"/>
      <c r="C54" s="212"/>
      <c r="D54" s="212"/>
      <c r="E54" s="212"/>
      <c r="F54" s="212"/>
      <c r="G54" s="212"/>
      <c r="H54" s="212"/>
      <c r="I54" s="213"/>
    </row>
    <row r="55" spans="1:9" x14ac:dyDescent="0.25">
      <c r="A55" s="211"/>
      <c r="B55" s="212"/>
      <c r="C55" s="212"/>
      <c r="D55" s="212"/>
      <c r="E55" s="212"/>
      <c r="F55" s="212"/>
      <c r="G55" s="212"/>
      <c r="H55" s="212"/>
      <c r="I55" s="213"/>
    </row>
    <row r="56" spans="1:9" x14ac:dyDescent="0.25">
      <c r="A56" s="211"/>
      <c r="B56" s="212"/>
      <c r="C56" s="212"/>
      <c r="D56" s="212"/>
      <c r="E56" s="212"/>
      <c r="F56" s="212"/>
      <c r="G56" s="212"/>
      <c r="H56" s="212"/>
      <c r="I56" s="213"/>
    </row>
    <row r="57" spans="1:9" x14ac:dyDescent="0.25">
      <c r="A57" s="211"/>
      <c r="B57" s="212"/>
      <c r="C57" s="212"/>
      <c r="D57" s="212"/>
      <c r="E57" s="212"/>
      <c r="F57" s="212"/>
      <c r="G57" s="212"/>
      <c r="H57" s="212"/>
      <c r="I57" s="213"/>
    </row>
    <row r="58" spans="1:9" x14ac:dyDescent="0.25">
      <c r="A58" s="211"/>
      <c r="B58" s="212"/>
      <c r="C58" s="212"/>
      <c r="D58" s="212"/>
      <c r="E58" s="212"/>
      <c r="F58" s="212"/>
      <c r="G58" s="212"/>
      <c r="H58" s="212"/>
      <c r="I58" s="213"/>
    </row>
    <row r="59" spans="1:9" x14ac:dyDescent="0.25">
      <c r="A59" s="211"/>
      <c r="B59" s="212"/>
      <c r="C59" s="212"/>
      <c r="D59" s="212"/>
      <c r="E59" s="212"/>
      <c r="F59" s="212"/>
      <c r="G59" s="212"/>
      <c r="H59" s="212"/>
      <c r="I59" s="213"/>
    </row>
    <row r="60" spans="1:9" x14ac:dyDescent="0.25">
      <c r="A60" s="211"/>
      <c r="B60" s="212"/>
      <c r="C60" s="212"/>
      <c r="D60" s="212"/>
      <c r="E60" s="212"/>
      <c r="F60" s="212"/>
      <c r="G60" s="212"/>
      <c r="H60" s="212"/>
      <c r="I60" s="213"/>
    </row>
    <row r="61" spans="1:9" x14ac:dyDescent="0.25">
      <c r="A61" s="211"/>
      <c r="B61" s="212"/>
      <c r="C61" s="212"/>
      <c r="D61" s="212"/>
      <c r="E61" s="212"/>
      <c r="F61" s="212"/>
      <c r="G61" s="212"/>
      <c r="H61" s="212"/>
      <c r="I61" s="213"/>
    </row>
    <row r="62" spans="1:9" x14ac:dyDescent="0.25">
      <c r="A62" s="211"/>
      <c r="B62" s="212"/>
      <c r="C62" s="212"/>
      <c r="D62" s="212"/>
      <c r="E62" s="212"/>
      <c r="F62" s="212"/>
      <c r="G62" s="212"/>
      <c r="H62" s="212"/>
      <c r="I62" s="213"/>
    </row>
    <row r="63" spans="1:9" x14ac:dyDescent="0.25">
      <c r="A63" s="211"/>
      <c r="B63" s="212"/>
      <c r="C63" s="212"/>
      <c r="D63" s="212"/>
      <c r="E63" s="212"/>
      <c r="F63" s="212"/>
      <c r="G63" s="212"/>
      <c r="H63" s="212"/>
      <c r="I63" s="213"/>
    </row>
    <row r="64" spans="1:9" x14ac:dyDescent="0.25">
      <c r="A64" s="211"/>
      <c r="B64" s="212"/>
      <c r="C64" s="212"/>
      <c r="D64" s="212"/>
      <c r="E64" s="212"/>
      <c r="F64" s="212"/>
      <c r="G64" s="212"/>
      <c r="H64" s="212"/>
      <c r="I64" s="213"/>
    </row>
    <row r="65" spans="1:9" x14ac:dyDescent="0.25">
      <c r="A65" s="211"/>
      <c r="B65" s="212"/>
      <c r="C65" s="212"/>
      <c r="D65" s="212"/>
      <c r="E65" s="212"/>
      <c r="F65" s="212"/>
      <c r="G65" s="212"/>
      <c r="H65" s="212"/>
      <c r="I65" s="213"/>
    </row>
    <row r="66" spans="1:9" x14ac:dyDescent="0.25">
      <c r="A66" s="211"/>
      <c r="B66" s="212"/>
      <c r="C66" s="212"/>
      <c r="D66" s="212"/>
      <c r="E66" s="212"/>
      <c r="F66" s="212"/>
      <c r="G66" s="212"/>
      <c r="H66" s="212"/>
      <c r="I66" s="213"/>
    </row>
    <row r="67" spans="1:9" x14ac:dyDescent="0.25">
      <c r="A67" s="211"/>
      <c r="B67" s="212"/>
      <c r="C67" s="212"/>
      <c r="D67" s="212"/>
      <c r="E67" s="212"/>
      <c r="F67" s="212"/>
      <c r="G67" s="212"/>
      <c r="H67" s="212"/>
      <c r="I67" s="213"/>
    </row>
    <row r="68" spans="1:9" x14ac:dyDescent="0.25">
      <c r="A68" s="211"/>
      <c r="B68" s="212"/>
      <c r="C68" s="212"/>
      <c r="D68" s="212"/>
      <c r="E68" s="212"/>
      <c r="F68" s="212"/>
      <c r="G68" s="212"/>
      <c r="H68" s="212"/>
      <c r="I68" s="213"/>
    </row>
    <row r="69" spans="1:9" ht="15.75" thickBot="1" x14ac:dyDescent="0.3">
      <c r="A69" s="214"/>
      <c r="B69" s="215"/>
      <c r="C69" s="215"/>
      <c r="D69" s="215"/>
      <c r="E69" s="215"/>
      <c r="F69" s="215"/>
      <c r="G69" s="215"/>
      <c r="H69" s="215"/>
      <c r="I69" s="216"/>
    </row>
  </sheetData>
  <mergeCells count="6">
    <mergeCell ref="A45:I69"/>
    <mergeCell ref="A32:B32"/>
    <mergeCell ref="A16:I16"/>
    <mergeCell ref="A3:B4"/>
    <mergeCell ref="A1:I1"/>
    <mergeCell ref="B17:I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Financial Ratios</vt:lpstr>
      <vt:lpstr>Trend Analysis</vt:lpstr>
      <vt:lpstr>Peer Comparison</vt:lpstr>
      <vt:lpstr>Summary</vt:lpstr>
      <vt:lpstr>Working Capital</vt:lpstr>
      <vt:lpstr>DCF Valuation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2026-09-05T10:52:56Z</dcterms:created>
  <dcterms:modified xsi:type="dcterms:W3CDTF">2026-10-19T06:13:43Z</dcterms:modified>
</cp:coreProperties>
</file>